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68DCE9CB-54E8-461E-81C8-C796C1C68283}" xr6:coauthVersionLast="47" xr6:coauthVersionMax="47" xr10:uidLastSave="{00000000-0000-0000-0000-000000000000}"/>
  <bookViews>
    <workbookView xWindow="-110" yWindow="-110" windowWidth="25820" windowHeight="15500" tabRatio="807" activeTab="1" xr2:uid="{198CD6C3-7345-420D-845D-A848DE6AC272}"/>
  </bookViews>
  <sheets>
    <sheet name="задание_6" sheetId="2" r:id="rId1"/>
    <sheet name="SQL запросы" sheetId="10" r:id="rId2"/>
    <sheet name="рез запросов 1-4" sheetId="16" r:id="rId3"/>
    <sheet name="Рез зап5" sheetId="15" r:id="rId4"/>
    <sheet name="Рез зап5 вычислен LMAU" sheetId="17" r:id="rId5"/>
    <sheet name="рез запросов 1-5 вместе" sheetId="1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5" l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2" i="15"/>
</calcChain>
</file>

<file path=xl/sharedStrings.xml><?xml version="1.0" encoding="utf-8"?>
<sst xmlns="http://schemas.openxmlformats.org/spreadsheetml/2006/main" count="189" uniqueCount="89">
  <si>
    <t>Задание 1</t>
  </si>
  <si>
    <t>Задание 2</t>
  </si>
  <si>
    <t>)</t>
  </si>
  <si>
    <t>(select    id_user</t>
  </si>
  <si>
    <t>from skygame.referral</t>
  </si>
  <si>
    <t>group by id_user</t>
  </si>
  <si>
    <t>from skygame.game_sessions</t>
  </si>
  <si>
    <t>group by mm</t>
  </si>
  <si>
    <t>from skygame.monetary m</t>
  </si>
  <si>
    <t>having sum(cnt_buy * price) &gt;= 1000</t>
  </si>
  <si>
    <t>Задание 3</t>
  </si>
  <si>
    <t>Задание 4</t>
  </si>
  <si>
    <t>Задание 5</t>
  </si>
  <si>
    <t>limit 100</t>
  </si>
  <si>
    <r>
      <t>Допустим, </t>
    </r>
    <r>
      <rPr>
        <i/>
        <sz val="10"/>
        <color rgb="FF242D34"/>
        <rFont val="Open Sans"/>
        <family val="2"/>
      </rPr>
      <t>лояльным</t>
    </r>
    <r>
      <rPr>
        <sz val="10"/>
        <color rgb="FF242D34"/>
        <rFont val="Open Sans"/>
        <family val="2"/>
      </rPr>
      <t> считается тот пользователь, который пригласил как минимум троих друзей, из которых как минимум один в результате зарегистрировался в нашей игре.</t>
    </r>
  </si>
  <si>
    <r>
      <t>Назовем данный критерий </t>
    </r>
    <r>
      <rPr>
        <b/>
        <i/>
        <sz val="10"/>
        <color rgb="FF242D34"/>
        <rFont val="Open Sans"/>
        <family val="2"/>
      </rPr>
      <t>crit_invite</t>
    </r>
    <r>
      <rPr>
        <sz val="10"/>
        <color rgb="FF242D34"/>
        <rFont val="Open Sans"/>
        <family val="2"/>
      </rPr>
      <t>.</t>
    </r>
  </si>
  <si>
    <r>
      <t>Рассчитайте динамику LMAU для критерия лояльности </t>
    </r>
    <r>
      <rPr>
        <b/>
        <i/>
        <sz val="10"/>
        <color rgb="FF242D34"/>
        <rFont val="Open Sans"/>
        <family val="2"/>
      </rPr>
      <t>crit_invite</t>
    </r>
    <r>
      <rPr>
        <sz val="10"/>
        <color rgb="FF242D34"/>
        <rFont val="Open Sans"/>
        <family val="2"/>
      </rPr>
      <t>.</t>
    </r>
  </si>
  <si>
    <r>
      <t>Допустим, </t>
    </r>
    <r>
      <rPr>
        <i/>
        <sz val="10"/>
        <color rgb="FF242D34"/>
        <rFont val="Open Sans"/>
        <family val="2"/>
      </rPr>
      <t>лояльным</t>
    </r>
    <r>
      <rPr>
        <sz val="10"/>
        <color rgb="FF242D34"/>
        <rFont val="Open Sans"/>
        <family val="2"/>
      </rPr>
      <t> считается тот пользователь, который заплатил суммарно больше 1000 рублей за всё время (не строго).</t>
    </r>
  </si>
  <si>
    <r>
      <t>Назовем данный критерий </t>
    </r>
    <r>
      <rPr>
        <b/>
        <i/>
        <sz val="10"/>
        <color rgb="FF242D34"/>
        <rFont val="Open Sans"/>
        <family val="2"/>
      </rPr>
      <t>crit_1000</t>
    </r>
    <r>
      <rPr>
        <sz val="10"/>
        <color rgb="FF242D34"/>
        <rFont val="Open Sans"/>
        <family val="2"/>
      </rPr>
      <t>.</t>
    </r>
  </si>
  <si>
    <r>
      <t>Рассчитайте динамику LMAU для критерия лояльности </t>
    </r>
    <r>
      <rPr>
        <b/>
        <i/>
        <sz val="10"/>
        <color rgb="FF242D34"/>
        <rFont val="Open Sans"/>
        <family val="2"/>
      </rPr>
      <t>crit_1000</t>
    </r>
    <r>
      <rPr>
        <sz val="10"/>
        <color rgb="FF242D34"/>
        <rFont val="Open Sans"/>
        <family val="2"/>
      </rPr>
      <t>.</t>
    </r>
  </si>
  <si>
    <r>
      <t>Рассчитайте динамику LMAU для критерия лояльности </t>
    </r>
    <r>
      <rPr>
        <b/>
        <i/>
        <sz val="10"/>
        <color rgb="FF242D34"/>
        <rFont val="Open Sans"/>
        <family val="2"/>
      </rPr>
      <t>crit_invite</t>
    </r>
    <r>
      <rPr>
        <sz val="10"/>
        <color rgb="FF242D34"/>
        <rFont val="Open Sans"/>
        <family val="2"/>
      </rPr>
      <t> </t>
    </r>
    <r>
      <rPr>
        <b/>
        <sz val="10"/>
        <color rgb="FF242D34"/>
        <rFont val="Open Sans"/>
        <family val="2"/>
      </rPr>
      <t>AND</t>
    </r>
    <r>
      <rPr>
        <sz val="10"/>
        <color rgb="FF242D34"/>
        <rFont val="Open Sans"/>
        <family val="2"/>
      </rPr>
      <t> </t>
    </r>
    <r>
      <rPr>
        <b/>
        <i/>
        <sz val="10"/>
        <color rgb="FF242D34"/>
        <rFont val="Open Sans"/>
        <family val="2"/>
      </rPr>
      <t>crit_1000</t>
    </r>
    <r>
      <rPr>
        <sz val="10"/>
        <color rgb="FF242D34"/>
        <rFont val="Open Sans"/>
        <family val="2"/>
      </rPr>
      <t xml:space="preserve">. </t>
    </r>
  </si>
  <si>
    <t>То есть чтобы считаться лояльным, клиенту необходимо удовлетворять обоим условиям из задания 1 и задания 2.</t>
  </si>
  <si>
    <r>
      <t>Рассчитайте динамику LMAU для критерия лояльности </t>
    </r>
    <r>
      <rPr>
        <b/>
        <i/>
        <sz val="10"/>
        <color rgb="FF242D34"/>
        <rFont val="Open Sans"/>
        <family val="2"/>
      </rPr>
      <t>crit_invite</t>
    </r>
    <r>
      <rPr>
        <sz val="10"/>
        <color rgb="FF242D34"/>
        <rFont val="Open Sans"/>
        <family val="2"/>
      </rPr>
      <t> </t>
    </r>
    <r>
      <rPr>
        <b/>
        <sz val="10"/>
        <color rgb="FF242D34"/>
        <rFont val="Open Sans"/>
        <family val="2"/>
      </rPr>
      <t>OR</t>
    </r>
    <r>
      <rPr>
        <sz val="10"/>
        <color rgb="FF242D34"/>
        <rFont val="Open Sans"/>
        <family val="2"/>
      </rPr>
      <t> </t>
    </r>
    <r>
      <rPr>
        <b/>
        <i/>
        <sz val="10"/>
        <color rgb="FF242D34"/>
        <rFont val="Open Sans"/>
        <family val="2"/>
      </rPr>
      <t>crit_1000</t>
    </r>
    <r>
      <rPr>
        <i/>
        <sz val="10"/>
        <color rgb="FF242D34"/>
        <rFont val="Open Sans"/>
        <family val="2"/>
      </rPr>
      <t>.</t>
    </r>
    <r>
      <rPr>
        <sz val="10"/>
        <color rgb="FF242D34"/>
        <rFont val="Open Sans"/>
        <family val="2"/>
      </rPr>
      <t> </t>
    </r>
  </si>
  <si>
    <t>То есть чтобы считаться лояльным, клиенту необходимо удовлетворять хотя бы одному условию из задания 1 и задания 2.</t>
  </si>
  <si>
    <r>
      <t>Допустим, </t>
    </r>
    <r>
      <rPr>
        <i/>
        <sz val="10"/>
        <color rgb="FF242D34"/>
        <rFont val="Open Sans"/>
        <family val="2"/>
      </rPr>
      <t>лояльным</t>
    </r>
    <r>
      <rPr>
        <sz val="10"/>
        <color rgb="FF242D34"/>
        <rFont val="Open Sans"/>
        <family val="2"/>
      </rPr>
      <t xml:space="preserve"> считается пользователь, который входит в топ-100 пользователей по средним выплатам за один месяц своей жизни. </t>
    </r>
  </si>
  <si>
    <t>Выведите список таких клиентов.</t>
  </si>
  <si>
    <t xml:space="preserve">with loyals as </t>
  </si>
  <si>
    <t>(</t>
  </si>
  <si>
    <t>select    id_user</t>
  </si>
  <si>
    <t>having count(*) &gt;= 3</t>
  </si>
  <si>
    <t xml:space="preserve">  and sum(ref_reg) &gt;= 1</t>
  </si>
  <si>
    <t>select    count(distinct id_user) as cnt_user</t>
  </si>
  <si>
    <t xml:space="preserve">        , date_trunc('month', start_session) as mm</t>
  </si>
  <si>
    <t>where id_user in (select * from loyals)</t>
  </si>
  <si>
    <t xml:space="preserve">   join skygame.item_list i</t>
  </si>
  <si>
    <t xml:space="preserve">      on m.id_item_buy = i.id_item</t>
  </si>
  <si>
    <t xml:space="preserve">   join skygame.log_prices p</t>
  </si>
  <si>
    <t xml:space="preserve">  on m.id_item_buy = p.id_item</t>
  </si>
  <si>
    <t xml:space="preserve">      and m.dtime_pay &gt;= p.valid_from</t>
  </si>
  <si>
    <t xml:space="preserve">      and m.dtime_pay &lt;= coalesce(valid_to, '3000-01-01')</t>
  </si>
  <si>
    <t xml:space="preserve">with loyals1 as </t>
  </si>
  <si>
    <t>),</t>
  </si>
  <si>
    <t xml:space="preserve">loyals2 as </t>
  </si>
  <si>
    <t>where id_user in (select * from loyals1)</t>
  </si>
  <si>
    <t xml:space="preserve">   and id_user in (select * from loyals2)</t>
  </si>
  <si>
    <t xml:space="preserve">   or id_user in (select * from loyals2)</t>
  </si>
  <si>
    <t xml:space="preserve">        , row_number() over (order by avg_rev desc) as rn</t>
  </si>
  <si>
    <t>from   (select    id_user</t>
  </si>
  <si>
    <t xml:space="preserve">               , rev / extract('day' from interv) as avg_rev</t>
  </si>
  <si>
    <t xml:space="preserve">        from   (select    m.id_user</t>
  </si>
  <si>
    <t xml:space="preserve">                        , sum(cnt_buy * price) as rev</t>
  </si>
  <si>
    <t xml:space="preserve">                        , (select max(dtime_pay) from skygame.monetary) - reg_date as interv</t>
  </si>
  <si>
    <t xml:space="preserve">                from skygame.monetary m</t>
  </si>
  <si>
    <t xml:space="preserve">                   join skygame.item_list i</t>
  </si>
  <si>
    <t xml:space="preserve">                      on m.id_item_buy = i.id_item</t>
  </si>
  <si>
    <t xml:space="preserve">                   join skygame.log_prices p</t>
  </si>
  <si>
    <t xml:space="preserve">                          on m.id_item_buy = p.id_item</t>
  </si>
  <si>
    <t xml:space="preserve">                      and m.dtime_pay &gt;= p.valid_from</t>
  </si>
  <si>
    <t xml:space="preserve">                      and m.dtime_pay &lt;= coalesce(valid_to, '3000-01-01')</t>
  </si>
  <si>
    <t xml:space="preserve">                   join skygame.users u</t>
  </si>
  <si>
    <t xml:space="preserve">                      on m.id_user = u.id_user</t>
  </si>
  <si>
    <t xml:space="preserve">                 group by    m.id_user</t>
  </si>
  <si>
    <t xml:space="preserve">                         , interv</t>
  </si>
  <si>
    <t xml:space="preserve">                 ) t</t>
  </si>
  <si>
    <t xml:space="preserve">        ) a</t>
  </si>
  <si>
    <t>cnt_user</t>
  </si>
  <si>
    <t>mm</t>
  </si>
  <si>
    <t xml:space="preserve">        , rev</t>
  </si>
  <si>
    <t xml:space="preserve">        , avg_rev as avg_rev_per_day</t>
  </si>
  <si>
    <t xml:space="preserve">        , avg_rev*30 as avg_rev_per_mm</t>
  </si>
  <si>
    <t xml:space="preserve">               , rev</t>
  </si>
  <si>
    <t>id_user</t>
  </si>
  <si>
    <t>rev</t>
  </si>
  <si>
    <t>avg_rev_per_day</t>
  </si>
  <si>
    <t>avg_rev_per_mm</t>
  </si>
  <si>
    <t>rn</t>
  </si>
  <si>
    <t xml:space="preserve"> 3 приглашения, 1 регистрация</t>
  </si>
  <si>
    <t>заплатил от 1 тыс. руб. за все время</t>
  </si>
  <si>
    <t>3 приглашения, 1 регистрация и заплатил от 1 тыс. руб. за все время</t>
  </si>
  <si>
    <t>3 приглашения, 1 регистрация или заплатил от 1 тыс. руб. за все время</t>
  </si>
  <si>
    <t>Количество лояльных активных игроков в зависимости от разных критериев лояльности</t>
  </si>
  <si>
    <t xml:space="preserve">    )    </t>
  </si>
  <si>
    <t>where id_user in (select id_user from loyals)</t>
  </si>
  <si>
    <t>LMAU по ТОП средних оплат за один месяц своей жизни</t>
  </si>
  <si>
    <t>по ТОП средних оплат за один месяц "жизни"</t>
  </si>
  <si>
    <t>--limit 100</t>
  </si>
  <si>
    <t>Расскажите о понятии «лояльный пользователь», как вы решили его определять, и покажите метрики, рассчитанные только на «лояльных» пользователях.</t>
  </si>
  <si>
    <t xml:space="preserve"> -- 2 подхода к периоду жизни юзеров: конец жизни определяют по последней активности (сессии или оплате), однако что тогда делать с "ожившими" через какое-то время юзерами? второй подход - юзер вечно живой.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</si>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</sst>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242D34"/>
      <name val="Open Sans"/>
      <family val="2"/>
    </font>
    <font>
      <b/>
      <sz val="10"/>
      <color rgb="FF242D34"/>
      <name val="Open Sans"/>
      <family val="2"/>
    </font>
    <font>
      <i/>
      <sz val="10"/>
      <color rgb="FF242D34"/>
      <name val="Open Sans"/>
      <family val="2"/>
    </font>
    <font>
      <b/>
      <i/>
      <sz val="10"/>
      <color rgb="FF242D34"/>
      <name val="Open Sans"/>
      <family val="2"/>
    </font>
    <font>
      <sz val="11"/>
      <color indexed="8"/>
      <name val="Calibri"/>
      <family val="2"/>
      <scheme val="minor"/>
    </font>
    <font>
      <sz val="11"/>
      <color rgb="FF595959"/>
      <name val="Calibri"/>
      <family val="2"/>
      <charset val="204"/>
      <scheme val="minor"/>
    </font>
    <font>
      <sz val="14"/>
      <color rgb="FF59595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2">
    <xf numFmtId="0" fontId="0" fillId="0" borderId="0" xfId="0"/>
    <xf numFmtId="0" fontId="1" fillId="0" borderId="0" xfId="1"/>
    <xf numFmtId="0" fontId="4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2" fillId="0" borderId="0" xfId="0" applyFont="1"/>
    <xf numFmtId="0" fontId="7" fillId="0" borderId="0" xfId="2"/>
    <xf numFmtId="164" fontId="7" fillId="0" borderId="0" xfId="2" applyNumberFormat="1"/>
    <xf numFmtId="0" fontId="8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center" readingOrder="1"/>
    </xf>
    <xf numFmtId="164" fontId="0" fillId="0" borderId="0" xfId="0" applyNumberFormat="1"/>
    <xf numFmtId="0" fontId="10" fillId="0" borderId="0" xfId="1" applyFont="1"/>
  </cellXfs>
  <cellStyles count="3">
    <cellStyle name="Обычный" xfId="0" builtinId="0"/>
    <cellStyle name="Обычный 2" xfId="1" xr:uid="{3B22E2A0-76CE-4B41-B6D4-9AADCD02D681}"/>
    <cellStyle name="Обычный 3" xfId="2" xr:uid="{8379A65C-02EE-4A66-9EE3-C50CCF6F31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лояльных активных игроков в зависимости от разных критериев лояльности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 запросов 1-4'!$B$3</c:f>
              <c:strCache>
                <c:ptCount val="1"/>
                <c:pt idx="0">
                  <c:v>3 приглашения, 1 регистрация или 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1-4'!$A$4:$A$13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1-4'!$B$4:$B$13</c:f>
              <c:numCache>
                <c:formatCode>General</c:formatCode>
                <c:ptCount val="10"/>
                <c:pt idx="0">
                  <c:v>96</c:v>
                </c:pt>
                <c:pt idx="1">
                  <c:v>182</c:v>
                </c:pt>
                <c:pt idx="2">
                  <c:v>174</c:v>
                </c:pt>
                <c:pt idx="3">
                  <c:v>176</c:v>
                </c:pt>
                <c:pt idx="4">
                  <c:v>200</c:v>
                </c:pt>
                <c:pt idx="5">
                  <c:v>185</c:v>
                </c:pt>
                <c:pt idx="6">
                  <c:v>264</c:v>
                </c:pt>
                <c:pt idx="7">
                  <c:v>326</c:v>
                </c:pt>
                <c:pt idx="8">
                  <c:v>686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7-4A00-9A65-F6BB87F9BF96}"/>
            </c:ext>
          </c:extLst>
        </c:ser>
        <c:ser>
          <c:idx val="1"/>
          <c:order val="1"/>
          <c:tx>
            <c:strRef>
              <c:f>'рез запросов 1-4'!$C$3</c:f>
              <c:strCache>
                <c:ptCount val="1"/>
                <c:pt idx="0">
                  <c:v> 3 приглашения, 1 регистрация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1-4'!$A$4:$A$13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1-4'!$C$4:$C$13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7-4A00-9A65-F6BB87F9BF96}"/>
            </c:ext>
          </c:extLst>
        </c:ser>
        <c:ser>
          <c:idx val="2"/>
          <c:order val="2"/>
          <c:tx>
            <c:strRef>
              <c:f>'рез запросов 1-4'!$D$3</c:f>
              <c:strCache>
                <c:ptCount val="1"/>
                <c:pt idx="0">
                  <c:v>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1-4'!$A$4:$A$13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1-4'!$D$4:$D$13</c:f>
              <c:numCache>
                <c:formatCode>General</c:formatCode>
                <c:ptCount val="10"/>
                <c:pt idx="0">
                  <c:v>30</c:v>
                </c:pt>
                <c:pt idx="1">
                  <c:v>52</c:v>
                </c:pt>
                <c:pt idx="2">
                  <c:v>49</c:v>
                </c:pt>
                <c:pt idx="3">
                  <c:v>61</c:v>
                </c:pt>
                <c:pt idx="4">
                  <c:v>67</c:v>
                </c:pt>
                <c:pt idx="5">
                  <c:v>57</c:v>
                </c:pt>
                <c:pt idx="6">
                  <c:v>78</c:v>
                </c:pt>
                <c:pt idx="7">
                  <c:v>111</c:v>
                </c:pt>
                <c:pt idx="8">
                  <c:v>230</c:v>
                </c:pt>
                <c:pt idx="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27-4A00-9A65-F6BB87F9BF96}"/>
            </c:ext>
          </c:extLst>
        </c:ser>
        <c:ser>
          <c:idx val="3"/>
          <c:order val="3"/>
          <c:tx>
            <c:strRef>
              <c:f>'рез запросов 1-4'!$E$3</c:f>
              <c:strCache>
                <c:ptCount val="1"/>
                <c:pt idx="0">
                  <c:v>3 приглашения, 1 регистрация и 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1-4'!$A$4:$A$13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1-4'!$E$4:$E$13</c:f>
              <c:numCache>
                <c:formatCode>General</c:formatCode>
                <c:ptCount val="1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35</c:v>
                </c:pt>
                <c:pt idx="8">
                  <c:v>76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27-4A00-9A65-F6BB87F9B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926448"/>
        <c:axId val="1837918960"/>
      </c:lineChart>
      <c:dateAx>
        <c:axId val="1837926448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918960"/>
        <c:crosses val="autoZero"/>
        <c:auto val="1"/>
        <c:lblOffset val="100"/>
        <c:baseTimeUnit val="months"/>
      </c:dateAx>
      <c:valAx>
        <c:axId val="183791896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9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игроков в т</a:t>
            </a:r>
            <a:r>
              <a:rPr lang="ru-RU"/>
              <a:t>оп-100 по средним оплатам за один месяц своей жизни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'Рез зап5'!$B$1</c:f>
              <c:strCache>
                <c:ptCount val="1"/>
                <c:pt idx="0">
                  <c:v>avg_rev_per_mm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'Рез зап5'!$A$2:$A$101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'Рез зап5'!$B$2:$B$101</c:f>
              <c:numCache>
                <c:formatCode>General</c:formatCode>
                <c:ptCount val="100"/>
                <c:pt idx="0">
                  <c:v>5.25</c:v>
                </c:pt>
                <c:pt idx="1">
                  <c:v>3.5</c:v>
                </c:pt>
                <c:pt idx="2">
                  <c:v>3.15</c:v>
                </c:pt>
                <c:pt idx="3">
                  <c:v>3.0545454545454547</c:v>
                </c:pt>
                <c:pt idx="4">
                  <c:v>2.8571428571428572</c:v>
                </c:pt>
                <c:pt idx="5">
                  <c:v>2.7272727272727271</c:v>
                </c:pt>
                <c:pt idx="6">
                  <c:v>2.709677419354839</c:v>
                </c:pt>
                <c:pt idx="7">
                  <c:v>2.6666666666666665</c:v>
                </c:pt>
                <c:pt idx="8">
                  <c:v>2.6470588235294117</c:v>
                </c:pt>
                <c:pt idx="9">
                  <c:v>2.5945945945945947</c:v>
                </c:pt>
                <c:pt idx="10">
                  <c:v>2.5074626865671643</c:v>
                </c:pt>
                <c:pt idx="11">
                  <c:v>2.4615384615384617</c:v>
                </c:pt>
                <c:pt idx="12">
                  <c:v>2.1538461538461537</c:v>
                </c:pt>
                <c:pt idx="13">
                  <c:v>2.1428571428571432</c:v>
                </c:pt>
                <c:pt idx="14">
                  <c:v>2.1333333333333333</c:v>
                </c:pt>
                <c:pt idx="15">
                  <c:v>2.0689655172413794</c:v>
                </c:pt>
                <c:pt idx="16">
                  <c:v>2.0487804878048781</c:v>
                </c:pt>
                <c:pt idx="17">
                  <c:v>2.0000000000000004</c:v>
                </c:pt>
                <c:pt idx="18">
                  <c:v>1.9672131147540981</c:v>
                </c:pt>
                <c:pt idx="19">
                  <c:v>1.9384615384615382</c:v>
                </c:pt>
                <c:pt idx="20">
                  <c:v>1.791044776119403</c:v>
                </c:pt>
                <c:pt idx="21">
                  <c:v>1.7647058823529409</c:v>
                </c:pt>
                <c:pt idx="22">
                  <c:v>1.7142857142857144</c:v>
                </c:pt>
                <c:pt idx="23">
                  <c:v>1.6666666666666667</c:v>
                </c:pt>
                <c:pt idx="24">
                  <c:v>1.6666666666666667</c:v>
                </c:pt>
                <c:pt idx="25">
                  <c:v>1.6470588235294117</c:v>
                </c:pt>
                <c:pt idx="26">
                  <c:v>1.6470588235294117</c:v>
                </c:pt>
                <c:pt idx="27">
                  <c:v>1.6153846153846154</c:v>
                </c:pt>
                <c:pt idx="28">
                  <c:v>1.6</c:v>
                </c:pt>
                <c:pt idx="29">
                  <c:v>1.5555555555555556</c:v>
                </c:pt>
                <c:pt idx="30">
                  <c:v>1.5483870967741935</c:v>
                </c:pt>
                <c:pt idx="31">
                  <c:v>1.5135135135135136</c:v>
                </c:pt>
                <c:pt idx="32">
                  <c:v>1.5</c:v>
                </c:pt>
                <c:pt idx="33">
                  <c:v>1.4693877551020407</c:v>
                </c:pt>
                <c:pt idx="34">
                  <c:v>1.4545454545454546</c:v>
                </c:pt>
                <c:pt idx="35">
                  <c:v>1.4482758620689655</c:v>
                </c:pt>
                <c:pt idx="36">
                  <c:v>1.4482758620689655</c:v>
                </c:pt>
                <c:pt idx="37">
                  <c:v>1.4285714285714286</c:v>
                </c:pt>
                <c:pt idx="38">
                  <c:v>1.4117647058823533</c:v>
                </c:pt>
                <c:pt idx="39">
                  <c:v>1.4</c:v>
                </c:pt>
                <c:pt idx="40">
                  <c:v>1.3846153846153846</c:v>
                </c:pt>
                <c:pt idx="41">
                  <c:v>1.3793103448275861</c:v>
                </c:pt>
                <c:pt idx="42">
                  <c:v>1.3770491803278688</c:v>
                </c:pt>
                <c:pt idx="43">
                  <c:v>1.3636363636363635</c:v>
                </c:pt>
                <c:pt idx="44">
                  <c:v>1.3548387096774195</c:v>
                </c:pt>
                <c:pt idx="45">
                  <c:v>1.35</c:v>
                </c:pt>
                <c:pt idx="46">
                  <c:v>1.3432835820895523</c:v>
                </c:pt>
                <c:pt idx="47">
                  <c:v>1.3333333333333333</c:v>
                </c:pt>
                <c:pt idx="48">
                  <c:v>1.3263157894736841</c:v>
                </c:pt>
                <c:pt idx="49">
                  <c:v>1.3125</c:v>
                </c:pt>
                <c:pt idx="50">
                  <c:v>1.2727272727272727</c:v>
                </c:pt>
                <c:pt idx="51">
                  <c:v>1.25</c:v>
                </c:pt>
                <c:pt idx="52">
                  <c:v>1.2375</c:v>
                </c:pt>
                <c:pt idx="53">
                  <c:v>1.2375</c:v>
                </c:pt>
                <c:pt idx="54">
                  <c:v>1.2173913043478262</c:v>
                </c:pt>
                <c:pt idx="55">
                  <c:v>1.1741176470588237</c:v>
                </c:pt>
                <c:pt idx="56">
                  <c:v>1.1666666666666665</c:v>
                </c:pt>
                <c:pt idx="57">
                  <c:v>1.1428571428571428</c:v>
                </c:pt>
                <c:pt idx="58">
                  <c:v>1.1351351351351353</c:v>
                </c:pt>
                <c:pt idx="59">
                  <c:v>1.1351351351351353</c:v>
                </c:pt>
                <c:pt idx="60">
                  <c:v>1.1227499999999999</c:v>
                </c:pt>
                <c:pt idx="61">
                  <c:v>1.1052631578947369</c:v>
                </c:pt>
                <c:pt idx="62">
                  <c:v>1.0909090909090911</c:v>
                </c:pt>
                <c:pt idx="63">
                  <c:v>1.0769230769230769</c:v>
                </c:pt>
                <c:pt idx="64">
                  <c:v>1.0746268656716418</c:v>
                </c:pt>
                <c:pt idx="65">
                  <c:v>1.0746268656716418</c:v>
                </c:pt>
                <c:pt idx="66">
                  <c:v>1.0588235294117649</c:v>
                </c:pt>
                <c:pt idx="67">
                  <c:v>1.0526315789473686</c:v>
                </c:pt>
                <c:pt idx="68">
                  <c:v>1.0344827586206897</c:v>
                </c:pt>
                <c:pt idx="69">
                  <c:v>1.0344827586206897</c:v>
                </c:pt>
                <c:pt idx="70">
                  <c:v>1.024390243902439</c:v>
                </c:pt>
                <c:pt idx="71">
                  <c:v>1.0000000000000002</c:v>
                </c:pt>
                <c:pt idx="72">
                  <c:v>1.0000000000000002</c:v>
                </c:pt>
                <c:pt idx="73">
                  <c:v>1.0000000000000002</c:v>
                </c:pt>
                <c:pt idx="74">
                  <c:v>1.0000000000000002</c:v>
                </c:pt>
                <c:pt idx="75">
                  <c:v>1.0000000000000002</c:v>
                </c:pt>
                <c:pt idx="76">
                  <c:v>1.0000000000000002</c:v>
                </c:pt>
                <c:pt idx="77">
                  <c:v>0.98360655737704905</c:v>
                </c:pt>
                <c:pt idx="78">
                  <c:v>0.97959183673469385</c:v>
                </c:pt>
                <c:pt idx="79">
                  <c:v>0.95454545454545447</c:v>
                </c:pt>
                <c:pt idx="80">
                  <c:v>0.94736842105263153</c:v>
                </c:pt>
                <c:pt idx="81">
                  <c:v>0.94029850746268651</c:v>
                </c:pt>
                <c:pt idx="82">
                  <c:v>0.93562500000000004</c:v>
                </c:pt>
                <c:pt idx="83">
                  <c:v>0.93333333333333335</c:v>
                </c:pt>
                <c:pt idx="84">
                  <c:v>0.93333333333333335</c:v>
                </c:pt>
                <c:pt idx="85">
                  <c:v>0.91666666666666674</c:v>
                </c:pt>
                <c:pt idx="86">
                  <c:v>0.91304347826086962</c:v>
                </c:pt>
                <c:pt idx="87">
                  <c:v>0.90909090909090917</c:v>
                </c:pt>
                <c:pt idx="88">
                  <c:v>0.90909090909090917</c:v>
                </c:pt>
                <c:pt idx="89">
                  <c:v>0.9</c:v>
                </c:pt>
                <c:pt idx="90">
                  <c:v>0.89552238805970152</c:v>
                </c:pt>
                <c:pt idx="91">
                  <c:v>0.89361702127659581</c:v>
                </c:pt>
                <c:pt idx="92">
                  <c:v>0.89361702127659581</c:v>
                </c:pt>
                <c:pt idx="93">
                  <c:v>0.89361702127659581</c:v>
                </c:pt>
                <c:pt idx="94">
                  <c:v>0.89361702127659581</c:v>
                </c:pt>
                <c:pt idx="95">
                  <c:v>0.88732394366197187</c:v>
                </c:pt>
                <c:pt idx="96">
                  <c:v>0.88235294117647045</c:v>
                </c:pt>
                <c:pt idx="97">
                  <c:v>0.88</c:v>
                </c:pt>
                <c:pt idx="98">
                  <c:v>0.875</c:v>
                </c:pt>
                <c:pt idx="99">
                  <c:v>0.875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0-4E3D-9B46-316033BD5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936016"/>
        <c:axId val="1837888176"/>
      </c:scatterChart>
      <c:valAx>
        <c:axId val="18379360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рейтинг</a:t>
                </a:r>
                <a:r>
                  <a:rPr lang="ru-RU" baseline="0"/>
                  <a:t> клиента в </a:t>
                </a:r>
                <a:r>
                  <a:rPr lang="ru-RU"/>
                  <a:t>топ 100 клиентов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888176"/>
        <c:crosses val="autoZero"/>
        <c:crossBetween val="midCat"/>
        <c:majorUnit val="20"/>
      </c:valAx>
      <c:valAx>
        <c:axId val="1837888176"/>
        <c:scaling>
          <c:orientation val="minMax"/>
          <c:max val="5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выручка</a:t>
                </a:r>
                <a:r>
                  <a:rPr lang="ru-RU" baseline="0"/>
                  <a:t> в месяц, т.р.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9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 зап5 вычислен LMAU'!$B$3</c:f>
              <c:strCache>
                <c:ptCount val="1"/>
                <c:pt idx="0">
                  <c:v>cnt_user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 зап5 вычислен LMAU'!$A$4:$A$13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зап5 вычислен LMAU'!$B$4:$B$13</c:f>
              <c:numCache>
                <c:formatCode>General</c:formatCode>
                <c:ptCount val="10"/>
                <c:pt idx="0">
                  <c:v>65</c:v>
                </c:pt>
                <c:pt idx="1">
                  <c:v>136</c:v>
                </c:pt>
                <c:pt idx="2">
                  <c:v>145</c:v>
                </c:pt>
                <c:pt idx="3">
                  <c:v>154</c:v>
                </c:pt>
                <c:pt idx="4">
                  <c:v>168</c:v>
                </c:pt>
                <c:pt idx="5">
                  <c:v>144</c:v>
                </c:pt>
                <c:pt idx="6">
                  <c:v>222</c:v>
                </c:pt>
                <c:pt idx="7">
                  <c:v>270</c:v>
                </c:pt>
                <c:pt idx="8">
                  <c:v>585</c:v>
                </c:pt>
                <c:pt idx="9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4-42E8-9E28-F6FA5038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434255"/>
        <c:axId val="798434671"/>
      </c:lineChart>
      <c:dateAx>
        <c:axId val="798434255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434671"/>
        <c:crosses val="autoZero"/>
        <c:auto val="1"/>
        <c:lblOffset val="100"/>
        <c:baseTimeUnit val="months"/>
      </c:dateAx>
      <c:valAx>
        <c:axId val="7984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43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лояльных активных игроков в зависимости от разных критериев лояльности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 запросов 1-5 вместе'!$B$3</c:f>
              <c:strCache>
                <c:ptCount val="1"/>
                <c:pt idx="0">
                  <c:v>3 приглашения, 1 регистрация или 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1-5 вместе'!$A$4:$A$13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1-5 вместе'!$B$4:$B$13</c:f>
              <c:numCache>
                <c:formatCode>General</c:formatCode>
                <c:ptCount val="10"/>
                <c:pt idx="0">
                  <c:v>96</c:v>
                </c:pt>
                <c:pt idx="1">
                  <c:v>182</c:v>
                </c:pt>
                <c:pt idx="2">
                  <c:v>174</c:v>
                </c:pt>
                <c:pt idx="3">
                  <c:v>176</c:v>
                </c:pt>
                <c:pt idx="4">
                  <c:v>200</c:v>
                </c:pt>
                <c:pt idx="5">
                  <c:v>185</c:v>
                </c:pt>
                <c:pt idx="6">
                  <c:v>264</c:v>
                </c:pt>
                <c:pt idx="7">
                  <c:v>326</c:v>
                </c:pt>
                <c:pt idx="8">
                  <c:v>686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1-45CF-AC19-FCD29DABB859}"/>
            </c:ext>
          </c:extLst>
        </c:ser>
        <c:ser>
          <c:idx val="1"/>
          <c:order val="1"/>
          <c:tx>
            <c:strRef>
              <c:f>'рез запросов 1-5 вместе'!$C$3</c:f>
              <c:strCache>
                <c:ptCount val="1"/>
                <c:pt idx="0">
                  <c:v>по ТОП средних оплат за один месяц "жизни"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1-5 вместе'!$A$4:$A$13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1-5 вместе'!$C$4:$C$13</c:f>
              <c:numCache>
                <c:formatCode>General</c:formatCode>
                <c:ptCount val="10"/>
                <c:pt idx="0">
                  <c:v>65</c:v>
                </c:pt>
                <c:pt idx="1">
                  <c:v>136</c:v>
                </c:pt>
                <c:pt idx="2">
                  <c:v>145</c:v>
                </c:pt>
                <c:pt idx="3">
                  <c:v>154</c:v>
                </c:pt>
                <c:pt idx="4">
                  <c:v>168</c:v>
                </c:pt>
                <c:pt idx="5">
                  <c:v>144</c:v>
                </c:pt>
                <c:pt idx="6">
                  <c:v>222</c:v>
                </c:pt>
                <c:pt idx="7">
                  <c:v>270</c:v>
                </c:pt>
                <c:pt idx="8">
                  <c:v>585</c:v>
                </c:pt>
                <c:pt idx="9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1-45CF-AC19-FCD29DABB859}"/>
            </c:ext>
          </c:extLst>
        </c:ser>
        <c:ser>
          <c:idx val="2"/>
          <c:order val="2"/>
          <c:tx>
            <c:strRef>
              <c:f>'рез запросов 1-5 вместе'!$D$3</c:f>
              <c:strCache>
                <c:ptCount val="1"/>
                <c:pt idx="0">
                  <c:v> 3 приглашения, 1 регистрация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1-5 вместе'!$A$4:$A$13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1-5 вместе'!$D$4:$D$13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1-45CF-AC19-FCD29DABB859}"/>
            </c:ext>
          </c:extLst>
        </c:ser>
        <c:ser>
          <c:idx val="3"/>
          <c:order val="3"/>
          <c:tx>
            <c:strRef>
              <c:f>'рез запросов 1-5 вместе'!$E$3</c:f>
              <c:strCache>
                <c:ptCount val="1"/>
                <c:pt idx="0">
                  <c:v>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1-5 вместе'!$A$4:$A$13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1-5 вместе'!$E$4:$E$13</c:f>
              <c:numCache>
                <c:formatCode>General</c:formatCode>
                <c:ptCount val="10"/>
                <c:pt idx="0">
                  <c:v>30</c:v>
                </c:pt>
                <c:pt idx="1">
                  <c:v>52</c:v>
                </c:pt>
                <c:pt idx="2">
                  <c:v>49</c:v>
                </c:pt>
                <c:pt idx="3">
                  <c:v>61</c:v>
                </c:pt>
                <c:pt idx="4">
                  <c:v>67</c:v>
                </c:pt>
                <c:pt idx="5">
                  <c:v>57</c:v>
                </c:pt>
                <c:pt idx="6">
                  <c:v>78</c:v>
                </c:pt>
                <c:pt idx="7">
                  <c:v>111</c:v>
                </c:pt>
                <c:pt idx="8">
                  <c:v>230</c:v>
                </c:pt>
                <c:pt idx="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1-45CF-AC19-FCD29DABB859}"/>
            </c:ext>
          </c:extLst>
        </c:ser>
        <c:ser>
          <c:idx val="4"/>
          <c:order val="4"/>
          <c:tx>
            <c:strRef>
              <c:f>'рез запросов 1-5 вместе'!$F$3</c:f>
              <c:strCache>
                <c:ptCount val="1"/>
                <c:pt idx="0">
                  <c:v>3 приглашения, 1 регистрация и заплатил от 1 тыс. руб. за все время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'рез запросов 1-5 вместе'!$A$4:$A$13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 запросов 1-5 вместе'!$F$4:$F$13</c:f>
              <c:numCache>
                <c:formatCode>General</c:formatCode>
                <c:ptCount val="1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35</c:v>
                </c:pt>
                <c:pt idx="8">
                  <c:v>76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71-45CF-AC19-FCD29DABB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926448"/>
        <c:axId val="1837918960"/>
      </c:lineChart>
      <c:dateAx>
        <c:axId val="1837926448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918960"/>
        <c:crosses val="autoZero"/>
        <c:auto val="1"/>
        <c:lblOffset val="100"/>
        <c:baseTimeUnit val="months"/>
      </c:dateAx>
      <c:valAx>
        <c:axId val="183791896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9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295274</xdr:colOff>
      <xdr:row>4</xdr:row>
      <xdr:rowOff>136524</xdr:rowOff>
    </xdr:from>
    <xdr:to>
      <xdr:col>16</xdr:col>
      <xdr:colOff>558800</xdr:colOff>
      <xdr:row>29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A21CC7-6C21-4A8E-9AC5-134323B71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15874</xdr:colOff>
      <xdr:row>0</xdr:row>
      <xdr:rowOff>174624</xdr:rowOff>
    </xdr:from>
    <xdr:to>
      <xdr:col>17</xdr:col>
      <xdr:colOff>596899</xdr:colOff>
      <xdr:row>19</xdr:row>
      <xdr:rowOff>76199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846AD0F-9FC7-4D1B-A322-4A27C1254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193674</xdr:colOff>
      <xdr:row>2</xdr:row>
      <xdr:rowOff>53975</xdr:rowOff>
    </xdr:from>
    <xdr:to>
      <xdr:col>10</xdr:col>
      <xdr:colOff>349249</xdr:colOff>
      <xdr:row>17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B7F9D47-5673-4476-A25F-1EA78D00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530224</xdr:colOff>
      <xdr:row>4</xdr:row>
      <xdr:rowOff>15874</xdr:rowOff>
    </xdr:from>
    <xdr:to>
      <xdr:col>18</xdr:col>
      <xdr:colOff>508000</xdr:colOff>
      <xdr:row>29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60EA9F-7B71-4BFF-8832-2C5DE308C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A7A-5E31-4076-BE71-1E03EBDCD9AF}">
  <dimension ref="A1"/>
  <sheetViews>
    <sheetView workbookViewId="0"/>
  </sheetViews>
  <sheetFormatPr defaultRowHeight="14.5" x14ac:dyDescent="0.35"/>
  <sheetData>
    <row r="1" spans="1:1" x14ac:dyDescent="0.35">
      <c r="A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EA17-BBF3-4123-A801-AA7DEB5654CA}">
  <dimension ref="A1:N162"/>
  <sheetViews>
    <sheetView tabSelected="1" topLeftCell="A130" workbookViewId="0">
      <selection activeCell="K143" sqref="K143"/>
    </sheetView>
  </sheetViews>
  <sheetFormatPr defaultRowHeight="14.5" x14ac:dyDescent="0.35"/>
  <sheetData>
    <row r="1" spans="1:14" x14ac:dyDescent="0.35">
      <c r="A1" s="5" t="s">
        <v>0</v>
      </c>
      <c r="G1" s="2" t="s">
        <v>0</v>
      </c>
      <c r="H1" s="1"/>
      <c r="I1" s="1"/>
      <c r="J1" s="1"/>
      <c r="K1" s="1"/>
      <c r="L1" s="1"/>
      <c r="M1" s="1"/>
      <c r="N1" s="1"/>
    </row>
    <row r="2" spans="1:14" x14ac:dyDescent="0.35">
      <c r="A2" t="s">
        <v>26</v>
      </c>
      <c r="G2" s="4" t="s">
        <v>14</v>
      </c>
      <c r="H2" s="1"/>
      <c r="I2" s="1"/>
      <c r="J2" s="1"/>
      <c r="K2" s="1"/>
      <c r="L2" s="1"/>
      <c r="M2" s="1"/>
      <c r="N2" s="1"/>
    </row>
    <row r="3" spans="1:14" x14ac:dyDescent="0.35">
      <c r="A3" t="s">
        <v>27</v>
      </c>
      <c r="G3" s="4" t="s">
        <v>15</v>
      </c>
      <c r="H3" s="1"/>
      <c r="I3" s="1"/>
      <c r="J3" s="1"/>
      <c r="K3" s="1"/>
      <c r="L3" s="1"/>
      <c r="M3" s="1"/>
      <c r="N3" s="1"/>
    </row>
    <row r="4" spans="1:14" x14ac:dyDescent="0.35">
      <c r="A4" t="s">
        <v>28</v>
      </c>
      <c r="G4" s="4" t="s">
        <v>16</v>
      </c>
      <c r="H4" s="1"/>
      <c r="I4" s="1"/>
      <c r="J4" s="1"/>
      <c r="K4" s="1"/>
      <c r="L4" s="1"/>
      <c r="M4" s="1"/>
      <c r="N4" s="1"/>
    </row>
    <row r="5" spans="1:14" x14ac:dyDescent="0.35">
      <c r="A5" t="s">
        <v>4</v>
      </c>
      <c r="G5" s="3"/>
      <c r="H5" s="1"/>
      <c r="I5" s="1"/>
      <c r="J5" s="1"/>
      <c r="K5" s="1"/>
      <c r="L5" s="1"/>
      <c r="M5" s="1"/>
      <c r="N5" s="1"/>
    </row>
    <row r="6" spans="1:14" x14ac:dyDescent="0.35">
      <c r="A6" t="s">
        <v>5</v>
      </c>
      <c r="H6" s="1"/>
      <c r="I6" s="1"/>
      <c r="J6" s="1"/>
      <c r="K6" s="1"/>
      <c r="L6" s="1"/>
      <c r="M6" s="1"/>
      <c r="N6" s="1"/>
    </row>
    <row r="7" spans="1:14" x14ac:dyDescent="0.35">
      <c r="A7" t="s">
        <v>29</v>
      </c>
      <c r="G7" s="1"/>
      <c r="H7" s="1"/>
      <c r="I7" s="1"/>
      <c r="J7" s="1"/>
      <c r="K7" s="1"/>
      <c r="L7" s="1"/>
      <c r="M7" s="1"/>
      <c r="N7" s="1"/>
    </row>
    <row r="8" spans="1:14" x14ac:dyDescent="0.35">
      <c r="A8" t="s">
        <v>30</v>
      </c>
      <c r="G8" s="1"/>
      <c r="H8" s="1"/>
      <c r="I8" s="1"/>
      <c r="J8" s="1"/>
      <c r="K8" s="1"/>
      <c r="L8" s="1"/>
      <c r="M8" s="1"/>
      <c r="N8" s="1"/>
    </row>
    <row r="9" spans="1:14" x14ac:dyDescent="0.35">
      <c r="A9" t="s">
        <v>2</v>
      </c>
      <c r="G9" s="1"/>
      <c r="H9" s="1"/>
      <c r="I9" s="1"/>
      <c r="J9" s="1"/>
      <c r="K9" s="1"/>
      <c r="L9" s="1"/>
      <c r="M9" s="1"/>
      <c r="N9" s="1"/>
    </row>
    <row r="10" spans="1:14" x14ac:dyDescent="0.35"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t="s">
        <v>31</v>
      </c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t="s">
        <v>32</v>
      </c>
      <c r="G12" s="1"/>
      <c r="H12" s="1"/>
      <c r="I12" s="1"/>
      <c r="J12" s="1"/>
      <c r="K12" s="1"/>
      <c r="L12" s="1"/>
      <c r="M12" s="1"/>
      <c r="N12" s="1"/>
    </row>
    <row r="13" spans="1:14" x14ac:dyDescent="0.35">
      <c r="A13" t="s">
        <v>6</v>
      </c>
      <c r="G13" s="1"/>
      <c r="H13" s="1"/>
      <c r="I13" s="1"/>
      <c r="J13" s="1"/>
      <c r="K13" s="1"/>
      <c r="L13" s="1"/>
      <c r="M13" s="1"/>
      <c r="N13" s="1"/>
    </row>
    <row r="14" spans="1:14" x14ac:dyDescent="0.35">
      <c r="A14" t="s">
        <v>33</v>
      </c>
      <c r="H14" s="1"/>
      <c r="I14" s="1"/>
      <c r="J14" s="1"/>
      <c r="K14" s="1"/>
      <c r="L14" s="1"/>
      <c r="M14" s="1"/>
      <c r="N14" s="1"/>
    </row>
    <row r="15" spans="1:14" x14ac:dyDescent="0.35">
      <c r="A15" t="s">
        <v>7</v>
      </c>
      <c r="H15" s="1"/>
      <c r="I15" s="1"/>
      <c r="J15" s="1"/>
      <c r="K15" s="1"/>
      <c r="L15" s="1"/>
      <c r="M15" s="1"/>
      <c r="N15" s="1"/>
    </row>
    <row r="16" spans="1:14" x14ac:dyDescent="0.35">
      <c r="H16" s="1"/>
      <c r="I16" s="1"/>
      <c r="J16" s="1"/>
      <c r="K16" s="1"/>
      <c r="L16" s="1"/>
      <c r="M16" s="1"/>
      <c r="N16" s="1"/>
    </row>
    <row r="17" spans="1:14" x14ac:dyDescent="0.35">
      <c r="H17" s="1"/>
      <c r="I17" s="1"/>
      <c r="J17" s="1"/>
      <c r="K17" s="1"/>
      <c r="L17" s="1"/>
      <c r="M17" s="1"/>
      <c r="N17" s="1"/>
    </row>
    <row r="18" spans="1:14" x14ac:dyDescent="0.35">
      <c r="A18" s="5" t="s">
        <v>1</v>
      </c>
      <c r="G18" s="2" t="s">
        <v>1</v>
      </c>
      <c r="H18" s="1"/>
      <c r="I18" s="1"/>
      <c r="J18" s="1"/>
      <c r="K18" s="1"/>
      <c r="L18" s="1"/>
      <c r="M18" s="1"/>
      <c r="N18" s="1"/>
    </row>
    <row r="19" spans="1:14" x14ac:dyDescent="0.35">
      <c r="A19" t="s">
        <v>26</v>
      </c>
      <c r="G19" s="4" t="s">
        <v>17</v>
      </c>
      <c r="H19" s="1"/>
      <c r="I19" s="1"/>
      <c r="J19" s="1"/>
      <c r="K19" s="1"/>
      <c r="L19" s="1"/>
      <c r="M19" s="1"/>
      <c r="N19" s="1"/>
    </row>
    <row r="20" spans="1:14" x14ac:dyDescent="0.35">
      <c r="A20" t="s">
        <v>27</v>
      </c>
      <c r="G20" s="4" t="s">
        <v>18</v>
      </c>
      <c r="H20" s="1"/>
      <c r="I20" s="1"/>
      <c r="J20" s="1"/>
      <c r="K20" s="1"/>
      <c r="L20" s="1"/>
      <c r="M20" s="1"/>
      <c r="N20" s="1"/>
    </row>
    <row r="21" spans="1:14" x14ac:dyDescent="0.35">
      <c r="A21" t="s">
        <v>28</v>
      </c>
      <c r="G21" s="4" t="s">
        <v>19</v>
      </c>
    </row>
    <row r="22" spans="1:14" x14ac:dyDescent="0.35">
      <c r="A22" t="s">
        <v>8</v>
      </c>
      <c r="G22" s="3"/>
    </row>
    <row r="23" spans="1:14" x14ac:dyDescent="0.35">
      <c r="A23" t="s">
        <v>34</v>
      </c>
    </row>
    <row r="24" spans="1:14" x14ac:dyDescent="0.35">
      <c r="A24" t="s">
        <v>35</v>
      </c>
    </row>
    <row r="25" spans="1:14" x14ac:dyDescent="0.35">
      <c r="A25" t="s">
        <v>36</v>
      </c>
    </row>
    <row r="26" spans="1:14" x14ac:dyDescent="0.35">
      <c r="C26" t="s">
        <v>37</v>
      </c>
    </row>
    <row r="27" spans="1:14" x14ac:dyDescent="0.35">
      <c r="A27" t="s">
        <v>38</v>
      </c>
    </row>
    <row r="28" spans="1:14" x14ac:dyDescent="0.35">
      <c r="A28" t="s">
        <v>39</v>
      </c>
    </row>
    <row r="29" spans="1:14" x14ac:dyDescent="0.35">
      <c r="A29" t="s">
        <v>5</v>
      </c>
    </row>
    <row r="30" spans="1:14" x14ac:dyDescent="0.35">
      <c r="A30" t="s">
        <v>9</v>
      </c>
    </row>
    <row r="31" spans="1:14" x14ac:dyDescent="0.35">
      <c r="A31" t="s">
        <v>2</v>
      </c>
    </row>
    <row r="33" spans="1:9" x14ac:dyDescent="0.35">
      <c r="A33" t="s">
        <v>31</v>
      </c>
    </row>
    <row r="34" spans="1:9" x14ac:dyDescent="0.35">
      <c r="A34" t="s">
        <v>32</v>
      </c>
    </row>
    <row r="35" spans="1:9" x14ac:dyDescent="0.35">
      <c r="A35" t="s">
        <v>6</v>
      </c>
    </row>
    <row r="36" spans="1:9" x14ac:dyDescent="0.35">
      <c r="A36" t="s">
        <v>33</v>
      </c>
    </row>
    <row r="37" spans="1:9" x14ac:dyDescent="0.35">
      <c r="A37" t="s">
        <v>7</v>
      </c>
    </row>
    <row r="40" spans="1:9" x14ac:dyDescent="0.35">
      <c r="A40" s="5" t="s">
        <v>10</v>
      </c>
      <c r="G40" s="2" t="s">
        <v>10</v>
      </c>
      <c r="H40" s="1"/>
      <c r="I40" s="1"/>
    </row>
    <row r="41" spans="1:9" x14ac:dyDescent="0.35">
      <c r="A41" t="s">
        <v>40</v>
      </c>
      <c r="G41" s="4" t="s">
        <v>20</v>
      </c>
      <c r="H41" s="1"/>
      <c r="I41" s="1"/>
    </row>
    <row r="42" spans="1:9" x14ac:dyDescent="0.35">
      <c r="A42" t="s">
        <v>27</v>
      </c>
      <c r="G42" s="1" t="s">
        <v>21</v>
      </c>
      <c r="H42" s="1"/>
      <c r="I42" s="1"/>
    </row>
    <row r="43" spans="1:9" x14ac:dyDescent="0.35">
      <c r="A43" t="s">
        <v>28</v>
      </c>
    </row>
    <row r="44" spans="1:9" x14ac:dyDescent="0.35">
      <c r="A44" t="s">
        <v>8</v>
      </c>
    </row>
    <row r="45" spans="1:9" x14ac:dyDescent="0.35">
      <c r="A45" t="s">
        <v>34</v>
      </c>
    </row>
    <row r="46" spans="1:9" x14ac:dyDescent="0.35">
      <c r="A46" t="s">
        <v>35</v>
      </c>
    </row>
    <row r="47" spans="1:9" x14ac:dyDescent="0.35">
      <c r="A47" t="s">
        <v>36</v>
      </c>
    </row>
    <row r="48" spans="1:9" x14ac:dyDescent="0.35">
      <c r="C48" t="s">
        <v>37</v>
      </c>
    </row>
    <row r="49" spans="1:1" x14ac:dyDescent="0.35">
      <c r="A49" t="s">
        <v>38</v>
      </c>
    </row>
    <row r="50" spans="1:1" x14ac:dyDescent="0.35">
      <c r="A50" t="s">
        <v>39</v>
      </c>
    </row>
    <row r="51" spans="1:1" x14ac:dyDescent="0.35">
      <c r="A51" t="s">
        <v>5</v>
      </c>
    </row>
    <row r="52" spans="1:1" x14ac:dyDescent="0.35">
      <c r="A52" t="s">
        <v>9</v>
      </c>
    </row>
    <row r="53" spans="1:1" x14ac:dyDescent="0.35">
      <c r="A53" t="s">
        <v>41</v>
      </c>
    </row>
    <row r="54" spans="1:1" x14ac:dyDescent="0.35">
      <c r="A54" t="s">
        <v>42</v>
      </c>
    </row>
    <row r="55" spans="1:1" x14ac:dyDescent="0.35">
      <c r="A55" t="s">
        <v>27</v>
      </c>
    </row>
    <row r="56" spans="1:1" x14ac:dyDescent="0.35">
      <c r="A56" t="s">
        <v>28</v>
      </c>
    </row>
    <row r="57" spans="1:1" x14ac:dyDescent="0.35">
      <c r="A57" t="s">
        <v>4</v>
      </c>
    </row>
    <row r="58" spans="1:1" x14ac:dyDescent="0.35">
      <c r="A58" t="s">
        <v>5</v>
      </c>
    </row>
    <row r="59" spans="1:1" x14ac:dyDescent="0.35">
      <c r="A59" t="s">
        <v>29</v>
      </c>
    </row>
    <row r="60" spans="1:1" x14ac:dyDescent="0.35">
      <c r="A60" t="s">
        <v>30</v>
      </c>
    </row>
    <row r="61" spans="1:1" x14ac:dyDescent="0.35">
      <c r="A61" t="s">
        <v>2</v>
      </c>
    </row>
    <row r="63" spans="1:1" x14ac:dyDescent="0.35">
      <c r="A63" t="s">
        <v>31</v>
      </c>
    </row>
    <row r="64" spans="1:1" x14ac:dyDescent="0.35">
      <c r="A64" t="s">
        <v>32</v>
      </c>
    </row>
    <row r="65" spans="1:9" x14ac:dyDescent="0.35">
      <c r="A65" t="s">
        <v>6</v>
      </c>
    </row>
    <row r="66" spans="1:9" x14ac:dyDescent="0.35">
      <c r="A66" t="s">
        <v>43</v>
      </c>
    </row>
    <row r="67" spans="1:9" x14ac:dyDescent="0.35">
      <c r="A67" t="s">
        <v>44</v>
      </c>
    </row>
    <row r="68" spans="1:9" x14ac:dyDescent="0.35">
      <c r="A68" t="s">
        <v>7</v>
      </c>
    </row>
    <row r="71" spans="1:9" x14ac:dyDescent="0.35">
      <c r="A71" s="5" t="s">
        <v>11</v>
      </c>
      <c r="G71" s="2" t="s">
        <v>11</v>
      </c>
      <c r="H71" s="1"/>
      <c r="I71" s="1"/>
    </row>
    <row r="72" spans="1:9" x14ac:dyDescent="0.35">
      <c r="A72" t="s">
        <v>40</v>
      </c>
      <c r="G72" s="4" t="s">
        <v>22</v>
      </c>
      <c r="H72" s="1"/>
      <c r="I72" s="1"/>
    </row>
    <row r="73" spans="1:9" x14ac:dyDescent="0.35">
      <c r="A73" t="s">
        <v>27</v>
      </c>
      <c r="G73" s="1" t="s">
        <v>23</v>
      </c>
      <c r="H73" s="1"/>
      <c r="I73" s="1"/>
    </row>
    <row r="74" spans="1:9" x14ac:dyDescent="0.35">
      <c r="A74" t="s">
        <v>28</v>
      </c>
      <c r="G74" s="1"/>
      <c r="H74" s="1"/>
      <c r="I74" s="1"/>
    </row>
    <row r="75" spans="1:9" x14ac:dyDescent="0.35">
      <c r="A75" t="s">
        <v>8</v>
      </c>
      <c r="G75" s="1"/>
      <c r="H75" s="1"/>
      <c r="I75" s="1"/>
    </row>
    <row r="76" spans="1:9" x14ac:dyDescent="0.35">
      <c r="A76" t="s">
        <v>34</v>
      </c>
    </row>
    <row r="77" spans="1:9" x14ac:dyDescent="0.35">
      <c r="A77" t="s">
        <v>35</v>
      </c>
    </row>
    <row r="78" spans="1:9" x14ac:dyDescent="0.35">
      <c r="A78" t="s">
        <v>36</v>
      </c>
    </row>
    <row r="79" spans="1:9" x14ac:dyDescent="0.35">
      <c r="C79" t="s">
        <v>37</v>
      </c>
    </row>
    <row r="80" spans="1:9" x14ac:dyDescent="0.35">
      <c r="A80" t="s">
        <v>38</v>
      </c>
    </row>
    <row r="81" spans="1:1" x14ac:dyDescent="0.35">
      <c r="A81" t="s">
        <v>39</v>
      </c>
    </row>
    <row r="82" spans="1:1" x14ac:dyDescent="0.35">
      <c r="A82" t="s">
        <v>5</v>
      </c>
    </row>
    <row r="83" spans="1:1" x14ac:dyDescent="0.35">
      <c r="A83" t="s">
        <v>9</v>
      </c>
    </row>
    <row r="84" spans="1:1" x14ac:dyDescent="0.35">
      <c r="A84" t="s">
        <v>41</v>
      </c>
    </row>
    <row r="85" spans="1:1" x14ac:dyDescent="0.35">
      <c r="A85" t="s">
        <v>42</v>
      </c>
    </row>
    <row r="86" spans="1:1" x14ac:dyDescent="0.35">
      <c r="A86" t="s">
        <v>27</v>
      </c>
    </row>
    <row r="87" spans="1:1" x14ac:dyDescent="0.35">
      <c r="A87" t="s">
        <v>28</v>
      </c>
    </row>
    <row r="88" spans="1:1" x14ac:dyDescent="0.35">
      <c r="A88" t="s">
        <v>4</v>
      </c>
    </row>
    <row r="89" spans="1:1" x14ac:dyDescent="0.35">
      <c r="A89" t="s">
        <v>5</v>
      </c>
    </row>
    <row r="90" spans="1:1" x14ac:dyDescent="0.35">
      <c r="A90" t="s">
        <v>29</v>
      </c>
    </row>
    <row r="91" spans="1:1" x14ac:dyDescent="0.35">
      <c r="A91" t="s">
        <v>30</v>
      </c>
    </row>
    <row r="92" spans="1:1" x14ac:dyDescent="0.35">
      <c r="A92" t="s">
        <v>2</v>
      </c>
    </row>
    <row r="94" spans="1:1" x14ac:dyDescent="0.35">
      <c r="A94" t="s">
        <v>31</v>
      </c>
    </row>
    <row r="95" spans="1:1" x14ac:dyDescent="0.35">
      <c r="A95" t="s">
        <v>32</v>
      </c>
    </row>
    <row r="96" spans="1:1" x14ac:dyDescent="0.35">
      <c r="A96" t="s">
        <v>6</v>
      </c>
    </row>
    <row r="97" spans="1:10" x14ac:dyDescent="0.35">
      <c r="A97" t="s">
        <v>43</v>
      </c>
    </row>
    <row r="98" spans="1:10" x14ac:dyDescent="0.35">
      <c r="A98" t="s">
        <v>45</v>
      </c>
    </row>
    <row r="99" spans="1:10" x14ac:dyDescent="0.35">
      <c r="A99" t="s">
        <v>7</v>
      </c>
    </row>
    <row r="102" spans="1:10" x14ac:dyDescent="0.35">
      <c r="A102" s="5" t="s">
        <v>12</v>
      </c>
      <c r="G102" s="2" t="s">
        <v>12</v>
      </c>
      <c r="H102" s="1"/>
      <c r="I102" s="1"/>
      <c r="J102" s="1"/>
    </row>
    <row r="103" spans="1:10" x14ac:dyDescent="0.35">
      <c r="A103" t="s">
        <v>28</v>
      </c>
      <c r="G103" s="4" t="s">
        <v>24</v>
      </c>
    </row>
    <row r="104" spans="1:10" x14ac:dyDescent="0.35">
      <c r="A104" t="s">
        <v>67</v>
      </c>
      <c r="G104" s="1" t="s">
        <v>25</v>
      </c>
    </row>
    <row r="105" spans="1:10" x14ac:dyDescent="0.35">
      <c r="A105" t="s">
        <v>68</v>
      </c>
    </row>
    <row r="106" spans="1:10" x14ac:dyDescent="0.35">
      <c r="A106" t="s">
        <v>69</v>
      </c>
    </row>
    <row r="107" spans="1:10" x14ac:dyDescent="0.35">
      <c r="A107" t="s">
        <v>46</v>
      </c>
    </row>
    <row r="108" spans="1:10" x14ac:dyDescent="0.35">
      <c r="A108" t="s">
        <v>47</v>
      </c>
    </row>
    <row r="109" spans="1:10" x14ac:dyDescent="0.35">
      <c r="A109" t="s">
        <v>48</v>
      </c>
    </row>
    <row r="110" spans="1:10" x14ac:dyDescent="0.35">
      <c r="A110" t="s">
        <v>70</v>
      </c>
    </row>
    <row r="111" spans="1:10" x14ac:dyDescent="0.35">
      <c r="A111" t="s">
        <v>49</v>
      </c>
    </row>
    <row r="112" spans="1:10" x14ac:dyDescent="0.35">
      <c r="A112" t="s">
        <v>50</v>
      </c>
    </row>
    <row r="113" spans="1:1" x14ac:dyDescent="0.35">
      <c r="A113" t="s">
        <v>51</v>
      </c>
    </row>
    <row r="114" spans="1:1" x14ac:dyDescent="0.35">
      <c r="A114" t="s">
        <v>52</v>
      </c>
    </row>
    <row r="115" spans="1:1" x14ac:dyDescent="0.35">
      <c r="A115" t="s">
        <v>53</v>
      </c>
    </row>
    <row r="116" spans="1:1" x14ac:dyDescent="0.35">
      <c r="A116" t="s">
        <v>54</v>
      </c>
    </row>
    <row r="117" spans="1:1" x14ac:dyDescent="0.35">
      <c r="A117" t="s">
        <v>55</v>
      </c>
    </row>
    <row r="118" spans="1:1" x14ac:dyDescent="0.35">
      <c r="A118" t="s">
        <v>56</v>
      </c>
    </row>
    <row r="119" spans="1:1" x14ac:dyDescent="0.35">
      <c r="A119" t="s">
        <v>57</v>
      </c>
    </row>
    <row r="120" spans="1:1" x14ac:dyDescent="0.35">
      <c r="A120" t="s">
        <v>58</v>
      </c>
    </row>
    <row r="121" spans="1:1" x14ac:dyDescent="0.35">
      <c r="A121" t="s">
        <v>59</v>
      </c>
    </row>
    <row r="122" spans="1:1" x14ac:dyDescent="0.35">
      <c r="A122" t="s">
        <v>60</v>
      </c>
    </row>
    <row r="123" spans="1:1" x14ac:dyDescent="0.35">
      <c r="A123" t="s">
        <v>61</v>
      </c>
    </row>
    <row r="124" spans="1:1" x14ac:dyDescent="0.35">
      <c r="A124" t="s">
        <v>62</v>
      </c>
    </row>
    <row r="125" spans="1:1" x14ac:dyDescent="0.35">
      <c r="A125" t="s">
        <v>63</v>
      </c>
    </row>
    <row r="126" spans="1:1" x14ac:dyDescent="0.35">
      <c r="A126" t="s">
        <v>64</v>
      </c>
    </row>
    <row r="127" spans="1:1" x14ac:dyDescent="0.35">
      <c r="A127" t="s">
        <v>13</v>
      </c>
    </row>
    <row r="128" spans="1:1" x14ac:dyDescent="0.35">
      <c r="A128" s="11" t="s">
        <v>87</v>
      </c>
    </row>
    <row r="131" spans="1:7" x14ac:dyDescent="0.35">
      <c r="A131" t="s">
        <v>26</v>
      </c>
      <c r="G131" t="s">
        <v>83</v>
      </c>
    </row>
    <row r="132" spans="1:7" x14ac:dyDescent="0.35">
      <c r="A132" t="s">
        <v>3</v>
      </c>
    </row>
    <row r="133" spans="1:7" x14ac:dyDescent="0.35">
      <c r="A133" t="s">
        <v>67</v>
      </c>
    </row>
    <row r="134" spans="1:7" x14ac:dyDescent="0.35">
      <c r="A134" t="s">
        <v>68</v>
      </c>
    </row>
    <row r="135" spans="1:7" x14ac:dyDescent="0.35">
      <c r="A135" t="s">
        <v>69</v>
      </c>
    </row>
    <row r="136" spans="1:7" x14ac:dyDescent="0.35">
      <c r="A136" t="s">
        <v>46</v>
      </c>
    </row>
    <row r="137" spans="1:7" x14ac:dyDescent="0.35">
      <c r="A137" t="s">
        <v>47</v>
      </c>
    </row>
    <row r="138" spans="1:7" x14ac:dyDescent="0.35">
      <c r="A138" t="s">
        <v>48</v>
      </c>
    </row>
    <row r="139" spans="1:7" x14ac:dyDescent="0.35">
      <c r="A139" t="s">
        <v>70</v>
      </c>
    </row>
    <row r="140" spans="1:7" x14ac:dyDescent="0.35">
      <c r="A140" t="s">
        <v>49</v>
      </c>
    </row>
    <row r="141" spans="1:7" x14ac:dyDescent="0.35">
      <c r="A141" t="s">
        <v>50</v>
      </c>
    </row>
    <row r="142" spans="1:7" x14ac:dyDescent="0.35">
      <c r="A142" t="s">
        <v>51</v>
      </c>
    </row>
    <row r="143" spans="1:7" x14ac:dyDescent="0.35">
      <c r="A143" t="s">
        <v>52</v>
      </c>
    </row>
    <row r="144" spans="1:7" x14ac:dyDescent="0.35">
      <c r="A144" t="s">
        <v>53</v>
      </c>
    </row>
    <row r="145" spans="1:1" x14ac:dyDescent="0.35">
      <c r="A145" t="s">
        <v>54</v>
      </c>
    </row>
    <row r="146" spans="1:1" x14ac:dyDescent="0.35">
      <c r="A146" t="s">
        <v>55</v>
      </c>
    </row>
    <row r="147" spans="1:1" x14ac:dyDescent="0.35">
      <c r="A147" t="s">
        <v>56</v>
      </c>
    </row>
    <row r="148" spans="1:1" x14ac:dyDescent="0.35">
      <c r="A148" t="s">
        <v>57</v>
      </c>
    </row>
    <row r="149" spans="1:1" x14ac:dyDescent="0.35">
      <c r="A149" t="s">
        <v>58</v>
      </c>
    </row>
    <row r="150" spans="1:1" x14ac:dyDescent="0.35">
      <c r="A150" t="s">
        <v>59</v>
      </c>
    </row>
    <row r="151" spans="1:1" x14ac:dyDescent="0.35">
      <c r="A151" t="s">
        <v>60</v>
      </c>
    </row>
    <row r="152" spans="1:1" x14ac:dyDescent="0.35">
      <c r="A152" t="s">
        <v>61</v>
      </c>
    </row>
    <row r="153" spans="1:1" x14ac:dyDescent="0.35">
      <c r="A153" t="s">
        <v>62</v>
      </c>
    </row>
    <row r="154" spans="1:1" x14ac:dyDescent="0.35">
      <c r="A154" t="s">
        <v>63</v>
      </c>
    </row>
    <row r="155" spans="1:1" x14ac:dyDescent="0.35">
      <c r="A155" t="s">
        <v>64</v>
      </c>
    </row>
    <row r="156" spans="1:1" x14ac:dyDescent="0.35">
      <c r="A156" t="s">
        <v>85</v>
      </c>
    </row>
    <row r="157" spans="1:1" x14ac:dyDescent="0.35">
      <c r="A157" t="s">
        <v>81</v>
      </c>
    </row>
    <row r="158" spans="1:1" x14ac:dyDescent="0.35">
      <c r="A158" t="s">
        <v>31</v>
      </c>
    </row>
    <row r="159" spans="1:1" x14ac:dyDescent="0.35">
      <c r="A159" t="s">
        <v>32</v>
      </c>
    </row>
    <row r="160" spans="1:1" x14ac:dyDescent="0.35">
      <c r="A160" t="s">
        <v>6</v>
      </c>
    </row>
    <row r="161" spans="1:1" x14ac:dyDescent="0.35">
      <c r="A161" t="s">
        <v>82</v>
      </c>
    </row>
    <row r="162" spans="1:1" x14ac:dyDescent="0.35">
      <c r="A16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668-C6BD-4882-B619-F4E7DE4ADA42}">
  <dimension ref="A1:E13"/>
  <sheetViews>
    <sheetView workbookViewId="0">
      <selection activeCell="A21" sqref="A21"/>
    </sheetView>
  </sheetViews>
  <sheetFormatPr defaultRowHeight="14.5" x14ac:dyDescent="0.35"/>
  <cols>
    <col min="1" max="1" width="14" style="6" bestFit="1" customWidth="1"/>
    <col min="2" max="2" width="24.453125" customWidth="1"/>
    <col min="3" max="3" width="15.90625" customWidth="1"/>
    <col min="4" max="4" width="16.6328125" customWidth="1"/>
    <col min="5" max="5" width="21.26953125" customWidth="1"/>
  </cols>
  <sheetData>
    <row r="1" spans="1:5" ht="18.5" x14ac:dyDescent="0.35">
      <c r="A1" s="9" t="s">
        <v>80</v>
      </c>
    </row>
    <row r="3" spans="1:5" ht="58" x14ac:dyDescent="0.35">
      <c r="A3" s="6" t="s">
        <v>88</v>
      </c>
      <c r="B3" s="8" t="s">
        <v>79</v>
      </c>
      <c r="C3" s="8" t="s">
        <v>76</v>
      </c>
      <c r="D3" s="8" t="s">
        <v>77</v>
      </c>
      <c r="E3" s="8" t="s">
        <v>78</v>
      </c>
    </row>
    <row r="4" spans="1:5" x14ac:dyDescent="0.35">
      <c r="A4" s="7">
        <v>44743</v>
      </c>
      <c r="B4" s="6">
        <v>96</v>
      </c>
      <c r="C4" s="6">
        <v>77</v>
      </c>
      <c r="D4" s="6">
        <v>30</v>
      </c>
      <c r="E4" s="6">
        <v>11</v>
      </c>
    </row>
    <row r="5" spans="1:5" x14ac:dyDescent="0.35">
      <c r="A5" s="7">
        <v>44774</v>
      </c>
      <c r="B5" s="6">
        <v>182</v>
      </c>
      <c r="C5" s="6">
        <v>148</v>
      </c>
      <c r="D5" s="6">
        <v>52</v>
      </c>
      <c r="E5" s="6">
        <v>18</v>
      </c>
    </row>
    <row r="6" spans="1:5" x14ac:dyDescent="0.35">
      <c r="A6" s="7">
        <v>44805</v>
      </c>
      <c r="B6" s="6">
        <v>174</v>
      </c>
      <c r="C6" s="6">
        <v>142</v>
      </c>
      <c r="D6" s="6">
        <v>49</v>
      </c>
      <c r="E6" s="6">
        <v>17</v>
      </c>
    </row>
    <row r="7" spans="1:5" x14ac:dyDescent="0.35">
      <c r="A7" s="7">
        <v>44835</v>
      </c>
      <c r="B7" s="6">
        <v>176</v>
      </c>
      <c r="C7" s="6">
        <v>133</v>
      </c>
      <c r="D7" s="6">
        <v>61</v>
      </c>
      <c r="E7" s="6">
        <v>18</v>
      </c>
    </row>
    <row r="8" spans="1:5" x14ac:dyDescent="0.35">
      <c r="A8" s="7">
        <v>44866</v>
      </c>
      <c r="B8" s="6">
        <v>200</v>
      </c>
      <c r="C8" s="6">
        <v>158</v>
      </c>
      <c r="D8" s="6">
        <v>67</v>
      </c>
      <c r="E8" s="6">
        <v>25</v>
      </c>
    </row>
    <row r="9" spans="1:5" x14ac:dyDescent="0.35">
      <c r="A9" s="7">
        <v>44896</v>
      </c>
      <c r="B9" s="6">
        <v>185</v>
      </c>
      <c r="C9" s="6">
        <v>154</v>
      </c>
      <c r="D9" s="6">
        <v>57</v>
      </c>
      <c r="E9" s="6">
        <v>26</v>
      </c>
    </row>
    <row r="10" spans="1:5" x14ac:dyDescent="0.35">
      <c r="A10" s="7">
        <v>44927</v>
      </c>
      <c r="B10" s="6">
        <v>264</v>
      </c>
      <c r="C10" s="6">
        <v>213</v>
      </c>
      <c r="D10" s="6">
        <v>78</v>
      </c>
      <c r="E10" s="6">
        <v>27</v>
      </c>
    </row>
    <row r="11" spans="1:5" x14ac:dyDescent="0.35">
      <c r="A11" s="7">
        <v>44958</v>
      </c>
      <c r="B11" s="6">
        <v>326</v>
      </c>
      <c r="C11" s="6">
        <v>250</v>
      </c>
      <c r="D11" s="6">
        <v>111</v>
      </c>
      <c r="E11" s="6">
        <v>35</v>
      </c>
    </row>
    <row r="12" spans="1:5" x14ac:dyDescent="0.35">
      <c r="A12" s="7">
        <v>44986</v>
      </c>
      <c r="B12" s="6">
        <v>686</v>
      </c>
      <c r="C12" s="6">
        <v>532</v>
      </c>
      <c r="D12" s="6">
        <v>230</v>
      </c>
      <c r="E12" s="6">
        <v>76</v>
      </c>
    </row>
    <row r="13" spans="1:5" x14ac:dyDescent="0.35">
      <c r="A13" s="7">
        <v>45017</v>
      </c>
      <c r="B13" s="6">
        <v>448</v>
      </c>
      <c r="C13" s="6">
        <v>341</v>
      </c>
      <c r="D13" s="6">
        <v>159</v>
      </c>
      <c r="E13" s="6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E83E-893C-4F98-A333-AF60B4F179F7}">
  <dimension ref="A1:H101"/>
  <sheetViews>
    <sheetView workbookViewId="0">
      <selection activeCell="J22" sqref="J22"/>
    </sheetView>
  </sheetViews>
  <sheetFormatPr defaultRowHeight="14.5" x14ac:dyDescent="0.35"/>
  <cols>
    <col min="1" max="1" width="8.7265625" style="6"/>
    <col min="2" max="2" width="15.453125" style="6" bestFit="1" customWidth="1"/>
    <col min="3" max="6" width="8.7265625" style="6"/>
    <col min="7" max="7" width="15.453125" style="6" bestFit="1" customWidth="1"/>
    <col min="8" max="16384" width="8.7265625" style="6"/>
  </cols>
  <sheetData>
    <row r="1" spans="1:8" x14ac:dyDescent="0.35">
      <c r="A1" s="6" t="s">
        <v>75</v>
      </c>
      <c r="B1" s="6" t="s">
        <v>74</v>
      </c>
      <c r="C1" s="6" t="s">
        <v>71</v>
      </c>
      <c r="E1" s="6" t="s">
        <v>72</v>
      </c>
      <c r="F1" s="6" t="s">
        <v>73</v>
      </c>
      <c r="G1" s="6" t="s">
        <v>74</v>
      </c>
    </row>
    <row r="2" spans="1:8" x14ac:dyDescent="0.35">
      <c r="A2" s="6">
        <v>1</v>
      </c>
      <c r="B2" s="6">
        <v>5.25</v>
      </c>
      <c r="C2" s="6">
        <v>2904013</v>
      </c>
      <c r="E2" s="6">
        <v>5600</v>
      </c>
      <c r="F2" s="6">
        <v>175</v>
      </c>
      <c r="G2" s="6">
        <v>5250</v>
      </c>
      <c r="H2" s="6">
        <f>B2/1000</f>
        <v>5.2500000000000003E-3</v>
      </c>
    </row>
    <row r="3" spans="1:8" x14ac:dyDescent="0.35">
      <c r="A3" s="6">
        <v>2</v>
      </c>
      <c r="B3" s="6">
        <v>3.5</v>
      </c>
      <c r="C3" s="6">
        <v>2903047</v>
      </c>
      <c r="E3" s="6">
        <v>4200</v>
      </c>
      <c r="F3" s="6">
        <v>116.66666666666667</v>
      </c>
      <c r="G3" s="6">
        <v>3500</v>
      </c>
      <c r="H3" s="6">
        <f t="shared" ref="H3:H66" si="0">B3/1000</f>
        <v>3.5000000000000001E-3</v>
      </c>
    </row>
    <row r="4" spans="1:8" x14ac:dyDescent="0.35">
      <c r="A4" s="6">
        <v>3</v>
      </c>
      <c r="B4" s="6">
        <v>3.15</v>
      </c>
      <c r="C4" s="6">
        <v>2902639</v>
      </c>
      <c r="E4" s="6">
        <v>4200</v>
      </c>
      <c r="F4" s="6">
        <v>105</v>
      </c>
      <c r="G4" s="6">
        <v>3150</v>
      </c>
      <c r="H4" s="6">
        <f t="shared" si="0"/>
        <v>3.15E-3</v>
      </c>
    </row>
    <row r="5" spans="1:8" x14ac:dyDescent="0.35">
      <c r="A5" s="6">
        <v>4</v>
      </c>
      <c r="B5" s="6">
        <v>3.0545454545454547</v>
      </c>
      <c r="C5" s="6">
        <v>2903898</v>
      </c>
      <c r="E5" s="6">
        <v>5600</v>
      </c>
      <c r="F5" s="6">
        <v>101.81818181818181</v>
      </c>
      <c r="G5" s="6">
        <v>3054.5454545454545</v>
      </c>
      <c r="H5" s="6">
        <f t="shared" si="0"/>
        <v>3.0545454545454548E-3</v>
      </c>
    </row>
    <row r="6" spans="1:8" x14ac:dyDescent="0.35">
      <c r="A6" s="6">
        <v>5</v>
      </c>
      <c r="B6" s="6">
        <v>2.8571428571428572</v>
      </c>
      <c r="C6" s="6">
        <v>2901881</v>
      </c>
      <c r="E6" s="6">
        <v>4000</v>
      </c>
      <c r="F6" s="6">
        <v>95.238095238095241</v>
      </c>
      <c r="G6" s="6">
        <v>2857.1428571428573</v>
      </c>
      <c r="H6" s="6">
        <f t="shared" si="0"/>
        <v>2.8571428571428571E-3</v>
      </c>
    </row>
    <row r="7" spans="1:8" x14ac:dyDescent="0.35">
      <c r="A7" s="6">
        <v>6</v>
      </c>
      <c r="B7" s="6">
        <v>2.7272727272727271</v>
      </c>
      <c r="C7" s="6">
        <v>2901681</v>
      </c>
      <c r="E7" s="6">
        <v>3000</v>
      </c>
      <c r="F7" s="6">
        <v>90.909090909090907</v>
      </c>
      <c r="G7" s="6">
        <v>2727.272727272727</v>
      </c>
      <c r="H7" s="6">
        <f t="shared" si="0"/>
        <v>2.7272727272727271E-3</v>
      </c>
    </row>
    <row r="8" spans="1:8" x14ac:dyDescent="0.35">
      <c r="A8" s="6">
        <v>7</v>
      </c>
      <c r="B8" s="6">
        <v>2.709677419354839</v>
      </c>
      <c r="C8" s="6">
        <v>2903310</v>
      </c>
      <c r="E8" s="6">
        <v>2800</v>
      </c>
      <c r="F8" s="6">
        <v>90.322580645161295</v>
      </c>
      <c r="G8" s="6">
        <v>2709.677419354839</v>
      </c>
      <c r="H8" s="6">
        <f t="shared" si="0"/>
        <v>2.7096774193548388E-3</v>
      </c>
    </row>
    <row r="9" spans="1:8" x14ac:dyDescent="0.35">
      <c r="A9" s="6">
        <v>8</v>
      </c>
      <c r="B9" s="6">
        <v>2.6666666666666665</v>
      </c>
      <c r="C9" s="6">
        <v>2903384</v>
      </c>
      <c r="E9" s="6">
        <v>5600</v>
      </c>
      <c r="F9" s="6">
        <v>88.888888888888886</v>
      </c>
      <c r="G9" s="6">
        <v>2666.6666666666665</v>
      </c>
      <c r="H9" s="6">
        <f t="shared" si="0"/>
        <v>2.6666666666666666E-3</v>
      </c>
    </row>
    <row r="10" spans="1:8" x14ac:dyDescent="0.35">
      <c r="A10" s="6">
        <v>9</v>
      </c>
      <c r="B10" s="6">
        <v>2.6470588235294117</v>
      </c>
      <c r="C10" s="6">
        <v>2904079</v>
      </c>
      <c r="E10" s="6">
        <v>3000</v>
      </c>
      <c r="F10" s="6">
        <v>88.235294117647058</v>
      </c>
      <c r="G10" s="6">
        <v>2647.0588235294117</v>
      </c>
      <c r="H10" s="6">
        <f t="shared" si="0"/>
        <v>2.6470588235294116E-3</v>
      </c>
    </row>
    <row r="11" spans="1:8" x14ac:dyDescent="0.35">
      <c r="A11" s="6">
        <v>10</v>
      </c>
      <c r="B11" s="6">
        <v>2.5945945945945947</v>
      </c>
      <c r="C11" s="6">
        <v>2901186</v>
      </c>
      <c r="E11" s="6">
        <v>3200</v>
      </c>
      <c r="F11" s="6">
        <v>86.486486486486484</v>
      </c>
      <c r="G11" s="6">
        <v>2594.5945945945946</v>
      </c>
      <c r="H11" s="6">
        <f t="shared" si="0"/>
        <v>2.5945945945945949E-3</v>
      </c>
    </row>
    <row r="12" spans="1:8" x14ac:dyDescent="0.35">
      <c r="A12" s="6">
        <v>11</v>
      </c>
      <c r="B12" s="6">
        <v>2.5074626865671643</v>
      </c>
      <c r="C12" s="6">
        <v>2901421</v>
      </c>
      <c r="E12" s="6">
        <v>5600</v>
      </c>
      <c r="F12" s="6">
        <v>83.582089552238813</v>
      </c>
      <c r="G12" s="6">
        <v>2507.4626865671644</v>
      </c>
      <c r="H12" s="6">
        <f t="shared" si="0"/>
        <v>2.5074626865671645E-3</v>
      </c>
    </row>
    <row r="13" spans="1:8" x14ac:dyDescent="0.35">
      <c r="A13" s="6">
        <v>12</v>
      </c>
      <c r="B13" s="6">
        <v>2.4615384615384617</v>
      </c>
      <c r="C13" s="6">
        <v>2901335</v>
      </c>
      <c r="E13" s="6">
        <v>3200</v>
      </c>
      <c r="F13" s="6">
        <v>82.051282051282058</v>
      </c>
      <c r="G13" s="6">
        <v>2461.5384615384619</v>
      </c>
      <c r="H13" s="6">
        <f t="shared" si="0"/>
        <v>2.4615384615384616E-3</v>
      </c>
    </row>
    <row r="14" spans="1:8" x14ac:dyDescent="0.35">
      <c r="A14" s="6">
        <v>13</v>
      </c>
      <c r="B14" s="6">
        <v>2.1538461538461537</v>
      </c>
      <c r="C14" s="6">
        <v>2902420</v>
      </c>
      <c r="E14" s="6">
        <v>2800</v>
      </c>
      <c r="F14" s="6">
        <v>71.794871794871796</v>
      </c>
      <c r="G14" s="6">
        <v>2153.8461538461538</v>
      </c>
      <c r="H14" s="6">
        <f t="shared" si="0"/>
        <v>2.1538461538461538E-3</v>
      </c>
    </row>
    <row r="15" spans="1:8" x14ac:dyDescent="0.35">
      <c r="A15" s="6">
        <v>14</v>
      </c>
      <c r="B15" s="6">
        <v>2.1428571428571432</v>
      </c>
      <c r="C15" s="6">
        <v>2901066</v>
      </c>
      <c r="E15" s="6">
        <v>3000</v>
      </c>
      <c r="F15" s="6">
        <v>71.428571428571431</v>
      </c>
      <c r="G15" s="6">
        <v>2142.8571428571431</v>
      </c>
      <c r="H15" s="6">
        <f t="shared" si="0"/>
        <v>2.1428571428571434E-3</v>
      </c>
    </row>
    <row r="16" spans="1:8" x14ac:dyDescent="0.35">
      <c r="A16" s="6">
        <v>15</v>
      </c>
      <c r="B16" s="6">
        <v>2.1333333333333333</v>
      </c>
      <c r="C16" s="6">
        <v>2903692</v>
      </c>
      <c r="E16" s="6">
        <v>3200</v>
      </c>
      <c r="F16" s="6">
        <v>71.111111111111114</v>
      </c>
      <c r="G16" s="6">
        <v>2133.3333333333335</v>
      </c>
      <c r="H16" s="6">
        <f t="shared" si="0"/>
        <v>2.1333333333333334E-3</v>
      </c>
    </row>
    <row r="17" spans="1:8" x14ac:dyDescent="0.35">
      <c r="A17" s="6">
        <v>16</v>
      </c>
      <c r="B17" s="6">
        <v>2.0689655172413794</v>
      </c>
      <c r="C17" s="6">
        <v>2902888</v>
      </c>
      <c r="E17" s="6">
        <v>2000</v>
      </c>
      <c r="F17" s="6">
        <v>68.965517241379317</v>
      </c>
      <c r="G17" s="6">
        <v>2068.9655172413795</v>
      </c>
      <c r="H17" s="6">
        <f t="shared" si="0"/>
        <v>2.0689655172413794E-3</v>
      </c>
    </row>
    <row r="18" spans="1:8" x14ac:dyDescent="0.35">
      <c r="A18" s="6">
        <v>17</v>
      </c>
      <c r="B18" s="6">
        <v>2.0487804878048781</v>
      </c>
      <c r="C18" s="6">
        <v>2902236</v>
      </c>
      <c r="E18" s="6">
        <v>2800</v>
      </c>
      <c r="F18" s="6">
        <v>68.292682926829272</v>
      </c>
      <c r="G18" s="6">
        <v>2048.7804878048782</v>
      </c>
      <c r="H18" s="6">
        <f t="shared" si="0"/>
        <v>2.0487804878048781E-3</v>
      </c>
    </row>
    <row r="19" spans="1:8" x14ac:dyDescent="0.35">
      <c r="A19" s="6">
        <v>18</v>
      </c>
      <c r="B19" s="6">
        <v>2.0000000000000004</v>
      </c>
      <c r="C19" s="6">
        <v>2901520</v>
      </c>
      <c r="E19" s="6">
        <v>2400</v>
      </c>
      <c r="F19" s="6">
        <v>66.666666666666671</v>
      </c>
      <c r="G19" s="6">
        <v>2000.0000000000002</v>
      </c>
      <c r="H19" s="6">
        <f t="shared" si="0"/>
        <v>2.0000000000000005E-3</v>
      </c>
    </row>
    <row r="20" spans="1:8" x14ac:dyDescent="0.35">
      <c r="A20" s="6">
        <v>19</v>
      </c>
      <c r="B20" s="6">
        <v>1.9672131147540981</v>
      </c>
      <c r="C20" s="6">
        <v>2902481</v>
      </c>
      <c r="E20" s="6">
        <v>4000</v>
      </c>
      <c r="F20" s="6">
        <v>65.573770491803273</v>
      </c>
      <c r="G20" s="6">
        <v>1967.2131147540981</v>
      </c>
      <c r="H20" s="6">
        <f t="shared" si="0"/>
        <v>1.9672131147540979E-3</v>
      </c>
    </row>
    <row r="21" spans="1:8" x14ac:dyDescent="0.35">
      <c r="A21" s="6">
        <v>20</v>
      </c>
      <c r="B21" s="6">
        <v>1.9384615384615382</v>
      </c>
      <c r="C21" s="6">
        <v>2901032</v>
      </c>
      <c r="E21" s="6">
        <v>4200</v>
      </c>
      <c r="F21" s="6">
        <v>64.615384615384613</v>
      </c>
      <c r="G21" s="6">
        <v>1938.4615384615383</v>
      </c>
      <c r="H21" s="6">
        <f t="shared" si="0"/>
        <v>1.9384615384615382E-3</v>
      </c>
    </row>
    <row r="22" spans="1:8" x14ac:dyDescent="0.35">
      <c r="A22" s="6">
        <v>21</v>
      </c>
      <c r="B22" s="6">
        <v>1.791044776119403</v>
      </c>
      <c r="C22" s="6">
        <v>2902331</v>
      </c>
      <c r="E22" s="6">
        <v>4000</v>
      </c>
      <c r="F22" s="6">
        <v>59.701492537313435</v>
      </c>
      <c r="G22" s="6">
        <v>1791.044776119403</v>
      </c>
      <c r="H22" s="6">
        <f t="shared" si="0"/>
        <v>1.791044776119403E-3</v>
      </c>
    </row>
    <row r="23" spans="1:8" x14ac:dyDescent="0.35">
      <c r="A23" s="6">
        <v>22</v>
      </c>
      <c r="B23" s="6">
        <v>1.7647058823529409</v>
      </c>
      <c r="C23" s="6">
        <v>2902073</v>
      </c>
      <c r="E23" s="6">
        <v>2000</v>
      </c>
      <c r="F23" s="6">
        <v>58.823529411764703</v>
      </c>
      <c r="G23" s="6">
        <v>1764.705882352941</v>
      </c>
      <c r="H23" s="6">
        <f t="shared" si="0"/>
        <v>1.7647058823529408E-3</v>
      </c>
    </row>
    <row r="24" spans="1:8" x14ac:dyDescent="0.35">
      <c r="A24" s="6">
        <v>23</v>
      </c>
      <c r="B24" s="6">
        <v>1.7142857142857144</v>
      </c>
      <c r="C24" s="6">
        <v>2903162</v>
      </c>
      <c r="E24" s="6">
        <v>2800</v>
      </c>
      <c r="F24" s="6">
        <v>57.142857142857146</v>
      </c>
      <c r="G24" s="6">
        <v>1714.2857142857144</v>
      </c>
      <c r="H24" s="6">
        <f t="shared" si="0"/>
        <v>1.7142857142857144E-3</v>
      </c>
    </row>
    <row r="25" spans="1:8" x14ac:dyDescent="0.35">
      <c r="A25" s="6">
        <v>24</v>
      </c>
      <c r="B25" s="6">
        <v>1.6666666666666667</v>
      </c>
      <c r="C25" s="6">
        <v>2902600</v>
      </c>
      <c r="E25" s="6">
        <v>2000</v>
      </c>
      <c r="F25" s="6">
        <v>55.555555555555557</v>
      </c>
      <c r="G25" s="6">
        <v>1666.6666666666667</v>
      </c>
      <c r="H25" s="6">
        <f t="shared" si="0"/>
        <v>1.6666666666666668E-3</v>
      </c>
    </row>
    <row r="26" spans="1:8" x14ac:dyDescent="0.35">
      <c r="A26" s="6">
        <v>25</v>
      </c>
      <c r="B26" s="6">
        <v>1.6666666666666667</v>
      </c>
      <c r="C26" s="6">
        <v>2902190</v>
      </c>
      <c r="E26" s="6">
        <v>2000</v>
      </c>
      <c r="F26" s="6">
        <v>55.555555555555557</v>
      </c>
      <c r="G26" s="6">
        <v>1666.6666666666667</v>
      </c>
      <c r="H26" s="6">
        <f t="shared" si="0"/>
        <v>1.6666666666666668E-3</v>
      </c>
    </row>
    <row r="27" spans="1:8" x14ac:dyDescent="0.35">
      <c r="A27" s="6">
        <v>26</v>
      </c>
      <c r="B27" s="6">
        <v>1.6470588235294117</v>
      </c>
      <c r="C27" s="6">
        <v>2901132</v>
      </c>
      <c r="E27" s="6">
        <v>2800</v>
      </c>
      <c r="F27" s="6">
        <v>54.901960784313722</v>
      </c>
      <c r="G27" s="6">
        <v>1647.0588235294117</v>
      </c>
      <c r="H27" s="6">
        <f t="shared" si="0"/>
        <v>1.6470588235294116E-3</v>
      </c>
    </row>
    <row r="28" spans="1:8" x14ac:dyDescent="0.35">
      <c r="A28" s="6">
        <v>27</v>
      </c>
      <c r="B28" s="6">
        <v>1.6470588235294117</v>
      </c>
      <c r="C28" s="6">
        <v>2903386</v>
      </c>
      <c r="E28" s="6">
        <v>2800</v>
      </c>
      <c r="F28" s="6">
        <v>54.901960784313722</v>
      </c>
      <c r="G28" s="6">
        <v>1647.0588235294117</v>
      </c>
      <c r="H28" s="6">
        <f t="shared" si="0"/>
        <v>1.6470588235294116E-3</v>
      </c>
    </row>
    <row r="29" spans="1:8" x14ac:dyDescent="0.35">
      <c r="A29" s="6">
        <v>28</v>
      </c>
      <c r="B29" s="6">
        <v>1.6153846153846154</v>
      </c>
      <c r="C29" s="6">
        <v>2902705</v>
      </c>
      <c r="E29" s="6">
        <v>2800</v>
      </c>
      <c r="F29" s="6">
        <v>53.846153846153847</v>
      </c>
      <c r="G29" s="6">
        <v>1615.3846153846155</v>
      </c>
      <c r="H29" s="6">
        <f t="shared" si="0"/>
        <v>1.6153846153846153E-3</v>
      </c>
    </row>
    <row r="30" spans="1:8" x14ac:dyDescent="0.35">
      <c r="A30" s="6">
        <v>29</v>
      </c>
      <c r="B30" s="6">
        <v>1.6</v>
      </c>
      <c r="C30" s="6">
        <v>2902494</v>
      </c>
      <c r="E30" s="6">
        <v>1600</v>
      </c>
      <c r="F30" s="6">
        <v>53.333333333333336</v>
      </c>
      <c r="G30" s="6">
        <v>1600</v>
      </c>
      <c r="H30" s="6">
        <f t="shared" si="0"/>
        <v>1.6000000000000001E-3</v>
      </c>
    </row>
    <row r="31" spans="1:8" x14ac:dyDescent="0.35">
      <c r="A31" s="6">
        <v>30</v>
      </c>
      <c r="B31" s="6">
        <v>1.5555555555555556</v>
      </c>
      <c r="C31" s="6">
        <v>2903657</v>
      </c>
      <c r="E31" s="6">
        <v>2800</v>
      </c>
      <c r="F31" s="6">
        <v>51.851851851851855</v>
      </c>
      <c r="G31" s="6">
        <v>1555.5555555555557</v>
      </c>
      <c r="H31" s="6">
        <f t="shared" si="0"/>
        <v>1.5555555555555557E-3</v>
      </c>
    </row>
    <row r="32" spans="1:8" x14ac:dyDescent="0.35">
      <c r="A32" s="6">
        <v>31</v>
      </c>
      <c r="B32" s="6">
        <v>1.5483870967741935</v>
      </c>
      <c r="C32" s="6">
        <v>2902509</v>
      </c>
      <c r="E32" s="6">
        <v>1600</v>
      </c>
      <c r="F32" s="6">
        <v>51.612903225806448</v>
      </c>
      <c r="G32" s="6">
        <v>1548.3870967741934</v>
      </c>
      <c r="H32" s="6">
        <f t="shared" si="0"/>
        <v>1.5483870967741935E-3</v>
      </c>
    </row>
    <row r="33" spans="1:8" x14ac:dyDescent="0.35">
      <c r="A33" s="6">
        <v>32</v>
      </c>
      <c r="B33" s="6">
        <v>1.5135135135135136</v>
      </c>
      <c r="C33" s="6">
        <v>2901537</v>
      </c>
      <c r="E33" s="6">
        <v>5600</v>
      </c>
      <c r="F33" s="6">
        <v>50.450450450450454</v>
      </c>
      <c r="G33" s="6">
        <v>1513.5135135135135</v>
      </c>
      <c r="H33" s="6">
        <f t="shared" si="0"/>
        <v>1.5135135135135136E-3</v>
      </c>
    </row>
    <row r="34" spans="1:8" x14ac:dyDescent="0.35">
      <c r="A34" s="6">
        <v>33</v>
      </c>
      <c r="B34" s="6">
        <v>1.5</v>
      </c>
      <c r="C34" s="6">
        <v>2901730</v>
      </c>
      <c r="E34" s="6">
        <v>2000</v>
      </c>
      <c r="F34" s="6">
        <v>50</v>
      </c>
      <c r="G34" s="6">
        <v>1500</v>
      </c>
      <c r="H34" s="6">
        <f t="shared" si="0"/>
        <v>1.5E-3</v>
      </c>
    </row>
    <row r="35" spans="1:8" x14ac:dyDescent="0.35">
      <c r="A35" s="6">
        <v>34</v>
      </c>
      <c r="B35" s="6">
        <v>1.4693877551020407</v>
      </c>
      <c r="C35" s="6">
        <v>2902515</v>
      </c>
      <c r="E35" s="6">
        <v>2400</v>
      </c>
      <c r="F35" s="6">
        <v>48.979591836734691</v>
      </c>
      <c r="G35" s="6">
        <v>1469.3877551020407</v>
      </c>
      <c r="H35" s="6">
        <f t="shared" si="0"/>
        <v>1.4693877551020407E-3</v>
      </c>
    </row>
    <row r="36" spans="1:8" x14ac:dyDescent="0.35">
      <c r="A36" s="6">
        <v>35</v>
      </c>
      <c r="B36" s="6">
        <v>1.4545454545454546</v>
      </c>
      <c r="C36" s="6">
        <v>2901678</v>
      </c>
      <c r="E36" s="6">
        <v>1600</v>
      </c>
      <c r="F36" s="6">
        <v>48.484848484848484</v>
      </c>
      <c r="G36" s="6">
        <v>1454.5454545454545</v>
      </c>
      <c r="H36" s="6">
        <f t="shared" si="0"/>
        <v>1.4545454545454547E-3</v>
      </c>
    </row>
    <row r="37" spans="1:8" x14ac:dyDescent="0.35">
      <c r="A37" s="6">
        <v>36</v>
      </c>
      <c r="B37" s="6">
        <v>1.4482758620689655</v>
      </c>
      <c r="C37" s="6">
        <v>2902542</v>
      </c>
      <c r="E37" s="6">
        <v>4200</v>
      </c>
      <c r="F37" s="6">
        <v>48.275862068965516</v>
      </c>
      <c r="G37" s="6">
        <v>1448.2758620689656</v>
      </c>
      <c r="H37" s="6">
        <f t="shared" si="0"/>
        <v>1.4482758620689654E-3</v>
      </c>
    </row>
    <row r="38" spans="1:8" x14ac:dyDescent="0.35">
      <c r="A38" s="6">
        <v>37</v>
      </c>
      <c r="B38" s="6">
        <v>1.4482758620689655</v>
      </c>
      <c r="C38" s="6">
        <v>2902348</v>
      </c>
      <c r="E38" s="6">
        <v>2800</v>
      </c>
      <c r="F38" s="6">
        <v>48.275862068965516</v>
      </c>
      <c r="G38" s="6">
        <v>1448.2758620689656</v>
      </c>
      <c r="H38" s="6">
        <f t="shared" si="0"/>
        <v>1.4482758620689654E-3</v>
      </c>
    </row>
    <row r="39" spans="1:8" x14ac:dyDescent="0.35">
      <c r="A39" s="6">
        <v>38</v>
      </c>
      <c r="B39" s="6">
        <v>1.4285714285714286</v>
      </c>
      <c r="C39" s="6">
        <v>2901556</v>
      </c>
      <c r="E39" s="6">
        <v>3000</v>
      </c>
      <c r="F39" s="6">
        <v>47.61904761904762</v>
      </c>
      <c r="G39" s="6">
        <v>1428.5714285714287</v>
      </c>
      <c r="H39" s="6">
        <f t="shared" si="0"/>
        <v>1.4285714285714286E-3</v>
      </c>
    </row>
    <row r="40" spans="1:8" x14ac:dyDescent="0.35">
      <c r="A40" s="6">
        <v>39</v>
      </c>
      <c r="B40" s="6">
        <v>1.4117647058823533</v>
      </c>
      <c r="C40" s="6">
        <v>2903411</v>
      </c>
      <c r="E40" s="6">
        <v>3200</v>
      </c>
      <c r="F40" s="6">
        <v>47.058823529411768</v>
      </c>
      <c r="G40" s="6">
        <v>1411.7647058823532</v>
      </c>
      <c r="H40" s="6">
        <f t="shared" si="0"/>
        <v>1.4117647058823533E-3</v>
      </c>
    </row>
    <row r="41" spans="1:8" x14ac:dyDescent="0.35">
      <c r="A41" s="6">
        <v>40</v>
      </c>
      <c r="B41" s="6">
        <v>1.4</v>
      </c>
      <c r="C41" s="6">
        <v>2902620</v>
      </c>
      <c r="E41" s="6">
        <v>2800</v>
      </c>
      <c r="F41" s="6">
        <v>46.666666666666664</v>
      </c>
      <c r="G41" s="6">
        <v>1400</v>
      </c>
      <c r="H41" s="6">
        <f t="shared" si="0"/>
        <v>1.4E-3</v>
      </c>
    </row>
    <row r="42" spans="1:8" x14ac:dyDescent="0.35">
      <c r="A42" s="6">
        <v>41</v>
      </c>
      <c r="B42" s="6">
        <v>1.3846153846153846</v>
      </c>
      <c r="C42" s="6">
        <v>2903985</v>
      </c>
      <c r="E42" s="6">
        <v>2400</v>
      </c>
      <c r="F42" s="6">
        <v>46.153846153846153</v>
      </c>
      <c r="G42" s="6">
        <v>1384.6153846153845</v>
      </c>
      <c r="H42" s="6">
        <f t="shared" si="0"/>
        <v>1.3846153846153845E-3</v>
      </c>
    </row>
    <row r="43" spans="1:8" x14ac:dyDescent="0.35">
      <c r="A43" s="6">
        <v>42</v>
      </c>
      <c r="B43" s="6">
        <v>1.3793103448275861</v>
      </c>
      <c r="C43" s="6">
        <v>2903371</v>
      </c>
      <c r="E43" s="6">
        <v>4000</v>
      </c>
      <c r="F43" s="6">
        <v>45.977011494252871</v>
      </c>
      <c r="G43" s="6">
        <v>1379.3103448275861</v>
      </c>
      <c r="H43" s="6">
        <f t="shared" si="0"/>
        <v>1.3793103448275861E-3</v>
      </c>
    </row>
    <row r="44" spans="1:8" x14ac:dyDescent="0.35">
      <c r="A44" s="6">
        <v>43</v>
      </c>
      <c r="B44" s="6">
        <v>1.3770491803278688</v>
      </c>
      <c r="C44" s="6">
        <v>2903729</v>
      </c>
      <c r="E44" s="6">
        <v>2800</v>
      </c>
      <c r="F44" s="6">
        <v>45.901639344262293</v>
      </c>
      <c r="G44" s="6">
        <v>1377.0491803278687</v>
      </c>
      <c r="H44" s="6">
        <f t="shared" si="0"/>
        <v>1.3770491803278687E-3</v>
      </c>
    </row>
    <row r="45" spans="1:8" x14ac:dyDescent="0.35">
      <c r="A45" s="6">
        <v>44</v>
      </c>
      <c r="B45" s="6">
        <v>1.3636363636363635</v>
      </c>
      <c r="C45" s="6">
        <v>2901686</v>
      </c>
      <c r="E45" s="6">
        <v>3000</v>
      </c>
      <c r="F45" s="6">
        <v>45.454545454545453</v>
      </c>
      <c r="G45" s="6">
        <v>1363.6363636363635</v>
      </c>
      <c r="H45" s="6">
        <f t="shared" si="0"/>
        <v>1.3636363636363635E-3</v>
      </c>
    </row>
    <row r="46" spans="1:8" x14ac:dyDescent="0.35">
      <c r="A46" s="6">
        <v>45</v>
      </c>
      <c r="B46" s="6">
        <v>1.3548387096774195</v>
      </c>
      <c r="C46" s="6">
        <v>2903396</v>
      </c>
      <c r="E46" s="6">
        <v>1400</v>
      </c>
      <c r="F46" s="6">
        <v>45.161290322580648</v>
      </c>
      <c r="G46" s="6">
        <v>1354.8387096774195</v>
      </c>
      <c r="H46" s="6">
        <f t="shared" si="0"/>
        <v>1.3548387096774194E-3</v>
      </c>
    </row>
    <row r="47" spans="1:8" x14ac:dyDescent="0.35">
      <c r="A47" s="6">
        <v>46</v>
      </c>
      <c r="B47" s="6">
        <v>1.35</v>
      </c>
      <c r="C47" s="6">
        <v>2903921</v>
      </c>
      <c r="E47" s="6">
        <v>1800</v>
      </c>
      <c r="F47" s="6">
        <v>45</v>
      </c>
      <c r="G47" s="6">
        <v>1350</v>
      </c>
      <c r="H47" s="6">
        <f t="shared" si="0"/>
        <v>1.3500000000000001E-3</v>
      </c>
    </row>
    <row r="48" spans="1:8" x14ac:dyDescent="0.35">
      <c r="A48" s="6">
        <v>47</v>
      </c>
      <c r="B48" s="6">
        <v>1.3432835820895523</v>
      </c>
      <c r="C48" s="6">
        <v>2903204</v>
      </c>
      <c r="E48" s="6">
        <v>3000</v>
      </c>
      <c r="F48" s="6">
        <v>44.776119402985074</v>
      </c>
      <c r="G48" s="6">
        <v>1343.2835820895523</v>
      </c>
      <c r="H48" s="6">
        <f t="shared" si="0"/>
        <v>1.3432835820895524E-3</v>
      </c>
    </row>
    <row r="49" spans="1:8" x14ac:dyDescent="0.35">
      <c r="A49" s="6">
        <v>48</v>
      </c>
      <c r="B49" s="6">
        <v>1.3333333333333333</v>
      </c>
      <c r="C49" s="6">
        <v>2903442</v>
      </c>
      <c r="E49" s="6">
        <v>1600</v>
      </c>
      <c r="F49" s="6">
        <v>44.444444444444443</v>
      </c>
      <c r="G49" s="6">
        <v>1333.3333333333333</v>
      </c>
      <c r="H49" s="6">
        <f t="shared" si="0"/>
        <v>1.3333333333333333E-3</v>
      </c>
    </row>
    <row r="50" spans="1:8" x14ac:dyDescent="0.35">
      <c r="A50" s="6">
        <v>49</v>
      </c>
      <c r="B50" s="6">
        <v>1.3263157894736841</v>
      </c>
      <c r="C50" s="6">
        <v>2902735</v>
      </c>
      <c r="E50" s="6">
        <v>4200</v>
      </c>
      <c r="F50" s="6">
        <v>44.210526315789473</v>
      </c>
      <c r="G50" s="6">
        <v>1326.3157894736842</v>
      </c>
      <c r="H50" s="6">
        <f t="shared" si="0"/>
        <v>1.3263157894736841E-3</v>
      </c>
    </row>
    <row r="51" spans="1:8" x14ac:dyDescent="0.35">
      <c r="A51" s="6">
        <v>50</v>
      </c>
      <c r="B51" s="6">
        <v>1.3125</v>
      </c>
      <c r="C51" s="6">
        <v>2901843</v>
      </c>
      <c r="E51" s="6">
        <v>1400</v>
      </c>
      <c r="F51" s="6">
        <v>43.75</v>
      </c>
      <c r="G51" s="6">
        <v>1312.5</v>
      </c>
      <c r="H51" s="6">
        <f t="shared" si="0"/>
        <v>1.3125000000000001E-3</v>
      </c>
    </row>
    <row r="52" spans="1:8" x14ac:dyDescent="0.35">
      <c r="A52" s="6">
        <v>51</v>
      </c>
      <c r="B52" s="6">
        <v>1.2727272727272727</v>
      </c>
      <c r="C52" s="6">
        <v>2903610</v>
      </c>
      <c r="E52" s="6">
        <v>1400</v>
      </c>
      <c r="F52" s="6">
        <v>42.424242424242422</v>
      </c>
      <c r="G52" s="6">
        <v>1272.7272727272727</v>
      </c>
      <c r="H52" s="6">
        <f t="shared" si="0"/>
        <v>1.2727272727272728E-3</v>
      </c>
    </row>
    <row r="53" spans="1:8" x14ac:dyDescent="0.35">
      <c r="A53" s="6">
        <v>52</v>
      </c>
      <c r="B53" s="6">
        <v>1.25</v>
      </c>
      <c r="C53" s="6">
        <v>2901086</v>
      </c>
      <c r="E53" s="6">
        <v>1000</v>
      </c>
      <c r="F53" s="6">
        <v>41.666666666666664</v>
      </c>
      <c r="G53" s="6">
        <v>1250</v>
      </c>
      <c r="H53" s="6">
        <f t="shared" si="0"/>
        <v>1.25E-3</v>
      </c>
    </row>
    <row r="54" spans="1:8" x14ac:dyDescent="0.35">
      <c r="A54" s="6">
        <v>53</v>
      </c>
      <c r="B54" s="6">
        <v>1.2375</v>
      </c>
      <c r="C54" s="6">
        <v>2903800</v>
      </c>
      <c r="E54" s="6">
        <v>1320</v>
      </c>
      <c r="F54" s="6">
        <v>41.25</v>
      </c>
      <c r="G54" s="6">
        <v>1237.5</v>
      </c>
      <c r="H54" s="6">
        <f t="shared" si="0"/>
        <v>1.2375000000000001E-3</v>
      </c>
    </row>
    <row r="55" spans="1:8" x14ac:dyDescent="0.35">
      <c r="A55" s="6">
        <v>54</v>
      </c>
      <c r="B55" s="6">
        <v>1.2375</v>
      </c>
      <c r="C55" s="6">
        <v>2904065</v>
      </c>
      <c r="E55" s="6">
        <v>1320</v>
      </c>
      <c r="F55" s="6">
        <v>41.25</v>
      </c>
      <c r="G55" s="6">
        <v>1237.5</v>
      </c>
      <c r="H55" s="6">
        <f t="shared" si="0"/>
        <v>1.2375000000000001E-3</v>
      </c>
    </row>
    <row r="56" spans="1:8" x14ac:dyDescent="0.35">
      <c r="A56" s="6">
        <v>55</v>
      </c>
      <c r="B56" s="6">
        <v>1.2173913043478262</v>
      </c>
      <c r="C56" s="6">
        <v>2901679</v>
      </c>
      <c r="E56" s="6">
        <v>2800</v>
      </c>
      <c r="F56" s="6">
        <v>40.579710144927539</v>
      </c>
      <c r="G56" s="6">
        <v>1217.3913043478262</v>
      </c>
      <c r="H56" s="6">
        <f t="shared" si="0"/>
        <v>1.2173913043478262E-3</v>
      </c>
    </row>
    <row r="57" spans="1:8" x14ac:dyDescent="0.35">
      <c r="A57" s="6">
        <v>56</v>
      </c>
      <c r="B57" s="6">
        <v>1.1741176470588237</v>
      </c>
      <c r="C57" s="6">
        <v>2903084</v>
      </c>
      <c r="E57" s="6">
        <v>1996</v>
      </c>
      <c r="F57" s="6">
        <v>39.137254901960787</v>
      </c>
      <c r="G57" s="6">
        <v>1174.1176470588236</v>
      </c>
      <c r="H57" s="6">
        <f t="shared" si="0"/>
        <v>1.1741176470588238E-3</v>
      </c>
    </row>
    <row r="58" spans="1:8" x14ac:dyDescent="0.35">
      <c r="A58" s="6">
        <v>57</v>
      </c>
      <c r="B58" s="6">
        <v>1.1666666666666665</v>
      </c>
      <c r="C58" s="6">
        <v>2901256</v>
      </c>
      <c r="E58" s="6">
        <v>1400</v>
      </c>
      <c r="F58" s="6">
        <v>38.888888888888886</v>
      </c>
      <c r="G58" s="6">
        <v>1166.6666666666665</v>
      </c>
      <c r="H58" s="6">
        <f t="shared" si="0"/>
        <v>1.1666666666666665E-3</v>
      </c>
    </row>
    <row r="59" spans="1:8" x14ac:dyDescent="0.35">
      <c r="A59" s="6">
        <v>58</v>
      </c>
      <c r="B59" s="6">
        <v>1.1428571428571428</v>
      </c>
      <c r="C59" s="6">
        <v>2902322</v>
      </c>
      <c r="E59" s="6">
        <v>2400</v>
      </c>
      <c r="F59" s="6">
        <v>38.095238095238095</v>
      </c>
      <c r="G59" s="6">
        <v>1142.8571428571429</v>
      </c>
      <c r="H59" s="6">
        <f t="shared" si="0"/>
        <v>1.1428571428571427E-3</v>
      </c>
    </row>
    <row r="60" spans="1:8" x14ac:dyDescent="0.35">
      <c r="A60" s="6">
        <v>59</v>
      </c>
      <c r="B60" s="6">
        <v>1.1351351351351353</v>
      </c>
      <c r="C60" s="6">
        <v>2904084</v>
      </c>
      <c r="E60" s="6">
        <v>1400</v>
      </c>
      <c r="F60" s="6">
        <v>37.837837837837839</v>
      </c>
      <c r="G60" s="6">
        <v>1135.1351351351352</v>
      </c>
      <c r="H60" s="6">
        <f t="shared" si="0"/>
        <v>1.1351351351351353E-3</v>
      </c>
    </row>
    <row r="61" spans="1:8" x14ac:dyDescent="0.35">
      <c r="A61" s="6">
        <v>60</v>
      </c>
      <c r="B61" s="6">
        <v>1.1351351351351353</v>
      </c>
      <c r="C61" s="6">
        <v>2901417</v>
      </c>
      <c r="E61" s="6">
        <v>1400</v>
      </c>
      <c r="F61" s="6">
        <v>37.837837837837839</v>
      </c>
      <c r="G61" s="6">
        <v>1135.1351351351352</v>
      </c>
      <c r="H61" s="6">
        <f t="shared" si="0"/>
        <v>1.1351351351351353E-3</v>
      </c>
    </row>
    <row r="62" spans="1:8" x14ac:dyDescent="0.35">
      <c r="A62" s="6">
        <v>61</v>
      </c>
      <c r="B62" s="6">
        <v>1.1227499999999999</v>
      </c>
      <c r="C62" s="6">
        <v>2903391</v>
      </c>
      <c r="E62" s="6">
        <v>1497</v>
      </c>
      <c r="F62" s="6">
        <v>37.424999999999997</v>
      </c>
      <c r="G62" s="6">
        <v>1122.75</v>
      </c>
      <c r="H62" s="6">
        <f t="shared" si="0"/>
        <v>1.1227499999999998E-3</v>
      </c>
    </row>
    <row r="63" spans="1:8" x14ac:dyDescent="0.35">
      <c r="A63" s="6">
        <v>62</v>
      </c>
      <c r="B63" s="6">
        <v>1.1052631578947369</v>
      </c>
      <c r="C63" s="6">
        <v>2902820</v>
      </c>
      <c r="E63" s="6">
        <v>1400</v>
      </c>
      <c r="F63" s="6">
        <v>36.842105263157897</v>
      </c>
      <c r="G63" s="6">
        <v>1105.2631578947369</v>
      </c>
      <c r="H63" s="6">
        <f t="shared" si="0"/>
        <v>1.105263157894737E-3</v>
      </c>
    </row>
    <row r="64" spans="1:8" x14ac:dyDescent="0.35">
      <c r="A64" s="6">
        <v>63</v>
      </c>
      <c r="B64" s="6">
        <v>1.0909090909090911</v>
      </c>
      <c r="C64" s="6">
        <v>2901225</v>
      </c>
      <c r="E64" s="6">
        <v>2400</v>
      </c>
      <c r="F64" s="6">
        <v>36.363636363636367</v>
      </c>
      <c r="G64" s="6">
        <v>1090.909090909091</v>
      </c>
      <c r="H64" s="6">
        <f t="shared" si="0"/>
        <v>1.090909090909091E-3</v>
      </c>
    </row>
    <row r="65" spans="1:8" x14ac:dyDescent="0.35">
      <c r="A65" s="6">
        <v>64</v>
      </c>
      <c r="B65" s="6">
        <v>1.0769230769230769</v>
      </c>
      <c r="C65" s="6">
        <v>2901488</v>
      </c>
      <c r="E65" s="6">
        <v>1400</v>
      </c>
      <c r="F65" s="6">
        <v>35.897435897435898</v>
      </c>
      <c r="G65" s="6">
        <v>1076.9230769230769</v>
      </c>
      <c r="H65" s="6">
        <f t="shared" si="0"/>
        <v>1.0769230769230769E-3</v>
      </c>
    </row>
    <row r="66" spans="1:8" x14ac:dyDescent="0.35">
      <c r="A66" s="6">
        <v>65</v>
      </c>
      <c r="B66" s="6">
        <v>1.0746268656716418</v>
      </c>
      <c r="C66" s="6">
        <v>2902108</v>
      </c>
      <c r="E66" s="6">
        <v>2400</v>
      </c>
      <c r="F66" s="6">
        <v>35.820895522388057</v>
      </c>
      <c r="G66" s="6">
        <v>1074.6268656716418</v>
      </c>
      <c r="H66" s="6">
        <f t="shared" si="0"/>
        <v>1.0746268656716418E-3</v>
      </c>
    </row>
    <row r="67" spans="1:8" x14ac:dyDescent="0.35">
      <c r="A67" s="6">
        <v>66</v>
      </c>
      <c r="B67" s="6">
        <v>1.0746268656716418</v>
      </c>
      <c r="C67" s="6">
        <v>2901286</v>
      </c>
      <c r="E67" s="6">
        <v>2400</v>
      </c>
      <c r="F67" s="6">
        <v>35.820895522388057</v>
      </c>
      <c r="G67" s="6">
        <v>1074.6268656716418</v>
      </c>
      <c r="H67" s="6">
        <f t="shared" ref="H67:H101" si="1">B67/1000</f>
        <v>1.0746268656716418E-3</v>
      </c>
    </row>
    <row r="68" spans="1:8" x14ac:dyDescent="0.35">
      <c r="A68" s="6">
        <v>67</v>
      </c>
      <c r="B68" s="6">
        <v>1.0588235294117649</v>
      </c>
      <c r="C68" s="6">
        <v>2902645</v>
      </c>
      <c r="E68" s="6">
        <v>1200</v>
      </c>
      <c r="F68" s="6">
        <v>35.294117647058826</v>
      </c>
      <c r="G68" s="6">
        <v>1058.8235294117649</v>
      </c>
      <c r="H68" s="6">
        <f t="shared" si="1"/>
        <v>1.058823529411765E-3</v>
      </c>
    </row>
    <row r="69" spans="1:8" x14ac:dyDescent="0.35">
      <c r="A69" s="6">
        <v>68</v>
      </c>
      <c r="B69" s="6">
        <v>1.0526315789473686</v>
      </c>
      <c r="C69" s="6">
        <v>2901029</v>
      </c>
      <c r="E69" s="6">
        <v>2000</v>
      </c>
      <c r="F69" s="6">
        <v>35.087719298245617</v>
      </c>
      <c r="G69" s="6">
        <v>1052.6315789473686</v>
      </c>
      <c r="H69" s="6">
        <f t="shared" si="1"/>
        <v>1.0526315789473686E-3</v>
      </c>
    </row>
    <row r="70" spans="1:8" x14ac:dyDescent="0.35">
      <c r="A70" s="6">
        <v>69</v>
      </c>
      <c r="B70" s="6">
        <v>1.0344827586206897</v>
      </c>
      <c r="C70" s="6">
        <v>2901086</v>
      </c>
      <c r="E70" s="6">
        <v>1000</v>
      </c>
      <c r="F70" s="6">
        <v>34.482758620689658</v>
      </c>
      <c r="G70" s="6">
        <v>1034.4827586206898</v>
      </c>
      <c r="H70" s="6">
        <f t="shared" si="1"/>
        <v>1.0344827586206897E-3</v>
      </c>
    </row>
    <row r="71" spans="1:8" x14ac:dyDescent="0.35">
      <c r="A71" s="6">
        <v>70</v>
      </c>
      <c r="B71" s="6">
        <v>1.0344827586206897</v>
      </c>
      <c r="C71" s="6">
        <v>2903033</v>
      </c>
      <c r="E71" s="6">
        <v>2000</v>
      </c>
      <c r="F71" s="6">
        <v>34.482758620689658</v>
      </c>
      <c r="G71" s="6">
        <v>1034.4827586206898</v>
      </c>
      <c r="H71" s="6">
        <f t="shared" si="1"/>
        <v>1.0344827586206897E-3</v>
      </c>
    </row>
    <row r="72" spans="1:8" x14ac:dyDescent="0.35">
      <c r="A72" s="6">
        <v>71</v>
      </c>
      <c r="B72" s="6">
        <v>1.024390243902439</v>
      </c>
      <c r="C72" s="6">
        <v>2903169</v>
      </c>
      <c r="E72" s="6">
        <v>1400</v>
      </c>
      <c r="F72" s="6">
        <v>34.146341463414636</v>
      </c>
      <c r="G72" s="6">
        <v>1024.3902439024391</v>
      </c>
      <c r="H72" s="6">
        <f t="shared" si="1"/>
        <v>1.0243902439024391E-3</v>
      </c>
    </row>
    <row r="73" spans="1:8" x14ac:dyDescent="0.35">
      <c r="A73" s="6">
        <v>72</v>
      </c>
      <c r="B73" s="6">
        <v>1.0000000000000002</v>
      </c>
      <c r="C73" s="6">
        <v>2901445</v>
      </c>
      <c r="E73" s="6">
        <v>4000</v>
      </c>
      <c r="F73" s="6">
        <v>33.333333333333336</v>
      </c>
      <c r="G73" s="6">
        <v>1000.0000000000001</v>
      </c>
      <c r="H73" s="6">
        <f t="shared" si="1"/>
        <v>1.0000000000000002E-3</v>
      </c>
    </row>
    <row r="74" spans="1:8" x14ac:dyDescent="0.35">
      <c r="A74" s="6">
        <v>73</v>
      </c>
      <c r="B74" s="6">
        <v>1.0000000000000002</v>
      </c>
      <c r="C74" s="6">
        <v>2903332</v>
      </c>
      <c r="E74" s="6">
        <v>2800</v>
      </c>
      <c r="F74" s="6">
        <v>33.333333333333336</v>
      </c>
      <c r="G74" s="6">
        <v>1000.0000000000001</v>
      </c>
      <c r="H74" s="6">
        <f t="shared" si="1"/>
        <v>1.0000000000000002E-3</v>
      </c>
    </row>
    <row r="75" spans="1:8" x14ac:dyDescent="0.35">
      <c r="A75" s="6">
        <v>74</v>
      </c>
      <c r="B75" s="6">
        <v>1.0000000000000002</v>
      </c>
      <c r="C75" s="6">
        <v>2902249</v>
      </c>
      <c r="E75" s="6">
        <v>1000</v>
      </c>
      <c r="F75" s="6">
        <v>33.333333333333336</v>
      </c>
      <c r="G75" s="6">
        <v>1000.0000000000001</v>
      </c>
      <c r="H75" s="6">
        <f t="shared" si="1"/>
        <v>1.0000000000000002E-3</v>
      </c>
    </row>
    <row r="76" spans="1:8" x14ac:dyDescent="0.35">
      <c r="A76" s="6">
        <v>75</v>
      </c>
      <c r="B76" s="6">
        <v>1.0000000000000002</v>
      </c>
      <c r="C76" s="6">
        <v>2901162</v>
      </c>
      <c r="E76" s="6">
        <v>1800</v>
      </c>
      <c r="F76" s="6">
        <v>33.333333333333336</v>
      </c>
      <c r="G76" s="6">
        <v>1000.0000000000001</v>
      </c>
      <c r="H76" s="6">
        <f t="shared" si="1"/>
        <v>1.0000000000000002E-3</v>
      </c>
    </row>
    <row r="77" spans="1:8" x14ac:dyDescent="0.35">
      <c r="A77" s="6">
        <v>76</v>
      </c>
      <c r="B77" s="6">
        <v>1.0000000000000002</v>
      </c>
      <c r="C77" s="6">
        <v>2901784</v>
      </c>
      <c r="E77" s="6">
        <v>1400</v>
      </c>
      <c r="F77" s="6">
        <v>33.333333333333336</v>
      </c>
      <c r="G77" s="6">
        <v>1000.0000000000001</v>
      </c>
      <c r="H77" s="6">
        <f t="shared" si="1"/>
        <v>1.0000000000000002E-3</v>
      </c>
    </row>
    <row r="78" spans="1:8" x14ac:dyDescent="0.35">
      <c r="A78" s="6">
        <v>77</v>
      </c>
      <c r="B78" s="6">
        <v>1.0000000000000002</v>
      </c>
      <c r="C78" s="6">
        <v>2901532</v>
      </c>
      <c r="E78" s="6">
        <v>1000</v>
      </c>
      <c r="F78" s="6">
        <v>33.333333333333336</v>
      </c>
      <c r="G78" s="6">
        <v>1000.0000000000001</v>
      </c>
      <c r="H78" s="6">
        <f t="shared" si="1"/>
        <v>1.0000000000000002E-3</v>
      </c>
    </row>
    <row r="79" spans="1:8" x14ac:dyDescent="0.35">
      <c r="A79" s="6">
        <v>78</v>
      </c>
      <c r="B79" s="6">
        <v>0.98360655737704905</v>
      </c>
      <c r="C79" s="6">
        <v>2902638</v>
      </c>
      <c r="E79" s="6">
        <v>4000</v>
      </c>
      <c r="F79" s="6">
        <v>32.786885245901637</v>
      </c>
      <c r="G79" s="6">
        <v>983.60655737704906</v>
      </c>
      <c r="H79" s="6">
        <f t="shared" si="1"/>
        <v>9.8360655737704896E-4</v>
      </c>
    </row>
    <row r="80" spans="1:8" x14ac:dyDescent="0.35">
      <c r="A80" s="6">
        <v>79</v>
      </c>
      <c r="B80" s="6">
        <v>0.97959183673469385</v>
      </c>
      <c r="C80" s="6">
        <v>2903750</v>
      </c>
      <c r="E80" s="6">
        <v>1600</v>
      </c>
      <c r="F80" s="6">
        <v>32.653061224489797</v>
      </c>
      <c r="G80" s="6">
        <v>979.59183673469386</v>
      </c>
      <c r="H80" s="6">
        <f t="shared" si="1"/>
        <v>9.7959183673469383E-4</v>
      </c>
    </row>
    <row r="81" spans="1:8" x14ac:dyDescent="0.35">
      <c r="A81" s="6">
        <v>80</v>
      </c>
      <c r="B81" s="6">
        <v>0.95454545454545447</v>
      </c>
      <c r="C81" s="6">
        <v>2903861</v>
      </c>
      <c r="E81" s="6">
        <v>1400</v>
      </c>
      <c r="F81" s="6">
        <v>31.818181818181817</v>
      </c>
      <c r="G81" s="6">
        <v>954.5454545454545</v>
      </c>
      <c r="H81" s="6">
        <f t="shared" si="1"/>
        <v>9.5454545454545445E-4</v>
      </c>
    </row>
    <row r="82" spans="1:8" x14ac:dyDescent="0.35">
      <c r="A82" s="6">
        <v>81</v>
      </c>
      <c r="B82" s="6">
        <v>0.94736842105263153</v>
      </c>
      <c r="C82" s="6">
        <v>2903588</v>
      </c>
      <c r="E82" s="6">
        <v>1200</v>
      </c>
      <c r="F82" s="6">
        <v>31.578947368421051</v>
      </c>
      <c r="G82" s="6">
        <v>947.36842105263156</v>
      </c>
      <c r="H82" s="6">
        <f t="shared" si="1"/>
        <v>9.4736842105263154E-4</v>
      </c>
    </row>
    <row r="83" spans="1:8" x14ac:dyDescent="0.35">
      <c r="A83" s="6">
        <v>82</v>
      </c>
      <c r="B83" s="6">
        <v>0.94029850746268651</v>
      </c>
      <c r="C83" s="6">
        <v>2901552</v>
      </c>
      <c r="E83" s="6">
        <v>2100</v>
      </c>
      <c r="F83" s="6">
        <v>31.343283582089551</v>
      </c>
      <c r="G83" s="6">
        <v>940.29850746268653</v>
      </c>
      <c r="H83" s="6">
        <f t="shared" si="1"/>
        <v>9.4029850746268646E-4</v>
      </c>
    </row>
    <row r="84" spans="1:8" x14ac:dyDescent="0.35">
      <c r="A84" s="6">
        <v>83</v>
      </c>
      <c r="B84" s="6">
        <v>0.93562500000000004</v>
      </c>
      <c r="C84" s="6">
        <v>2903056</v>
      </c>
      <c r="E84" s="6">
        <v>1497</v>
      </c>
      <c r="F84" s="6">
        <v>31.1875</v>
      </c>
      <c r="G84" s="6">
        <v>935.625</v>
      </c>
      <c r="H84" s="6">
        <f t="shared" si="1"/>
        <v>9.3562500000000004E-4</v>
      </c>
    </row>
    <row r="85" spans="1:8" x14ac:dyDescent="0.35">
      <c r="A85" s="6">
        <v>84</v>
      </c>
      <c r="B85" s="6">
        <v>0.93333333333333335</v>
      </c>
      <c r="C85" s="6">
        <v>2904085</v>
      </c>
      <c r="E85" s="6">
        <v>1400</v>
      </c>
      <c r="F85" s="6">
        <v>31.111111111111111</v>
      </c>
      <c r="G85" s="6">
        <v>933.33333333333337</v>
      </c>
      <c r="H85" s="6">
        <f t="shared" si="1"/>
        <v>9.3333333333333332E-4</v>
      </c>
    </row>
    <row r="86" spans="1:8" x14ac:dyDescent="0.35">
      <c r="A86" s="6">
        <v>85</v>
      </c>
      <c r="B86" s="6">
        <v>0.93333333333333335</v>
      </c>
      <c r="C86" s="6">
        <v>2902257</v>
      </c>
      <c r="E86" s="6">
        <v>1400</v>
      </c>
      <c r="F86" s="6">
        <v>31.111111111111111</v>
      </c>
      <c r="G86" s="6">
        <v>933.33333333333337</v>
      </c>
      <c r="H86" s="6">
        <f t="shared" si="1"/>
        <v>9.3333333333333332E-4</v>
      </c>
    </row>
    <row r="87" spans="1:8" x14ac:dyDescent="0.35">
      <c r="A87" s="6">
        <v>86</v>
      </c>
      <c r="B87" s="6">
        <v>0.91666666666666674</v>
      </c>
      <c r="C87" s="6">
        <v>2901481</v>
      </c>
      <c r="E87" s="6">
        <v>1100</v>
      </c>
      <c r="F87" s="6">
        <v>30.555555555555557</v>
      </c>
      <c r="G87" s="6">
        <v>916.66666666666674</v>
      </c>
      <c r="H87" s="6">
        <f t="shared" si="1"/>
        <v>9.1666666666666676E-4</v>
      </c>
    </row>
    <row r="88" spans="1:8" x14ac:dyDescent="0.35">
      <c r="A88" s="6">
        <v>87</v>
      </c>
      <c r="B88" s="6">
        <v>0.91304347826086962</v>
      </c>
      <c r="C88" s="6">
        <v>2902269</v>
      </c>
      <c r="E88" s="6">
        <v>1400</v>
      </c>
      <c r="F88" s="6">
        <v>30.434782608695652</v>
      </c>
      <c r="G88" s="6">
        <v>913.04347826086962</v>
      </c>
      <c r="H88" s="6">
        <f t="shared" si="1"/>
        <v>9.1304347826086959E-4</v>
      </c>
    </row>
    <row r="89" spans="1:8" x14ac:dyDescent="0.35">
      <c r="A89" s="6">
        <v>88</v>
      </c>
      <c r="B89" s="6">
        <v>0.90909090909090917</v>
      </c>
      <c r="C89" s="6">
        <v>2903501</v>
      </c>
      <c r="E89" s="6">
        <v>1000</v>
      </c>
      <c r="F89" s="6">
        <v>30.303030303030305</v>
      </c>
      <c r="G89" s="6">
        <v>909.09090909090912</v>
      </c>
      <c r="H89" s="6">
        <f t="shared" si="1"/>
        <v>9.090909090909092E-4</v>
      </c>
    </row>
    <row r="90" spans="1:8" x14ac:dyDescent="0.35">
      <c r="A90" s="6">
        <v>89</v>
      </c>
      <c r="B90" s="6">
        <v>0.90909090909090917</v>
      </c>
      <c r="C90" s="6">
        <v>2901287</v>
      </c>
      <c r="E90" s="6">
        <v>2000</v>
      </c>
      <c r="F90" s="6">
        <v>30.303030303030305</v>
      </c>
      <c r="G90" s="6">
        <v>909.09090909090912</v>
      </c>
      <c r="H90" s="6">
        <f t="shared" si="1"/>
        <v>9.090909090909092E-4</v>
      </c>
    </row>
    <row r="91" spans="1:8" x14ac:dyDescent="0.35">
      <c r="A91" s="6">
        <v>90</v>
      </c>
      <c r="B91" s="6">
        <v>0.9</v>
      </c>
      <c r="C91" s="6">
        <v>2903624</v>
      </c>
      <c r="E91" s="6">
        <v>1200</v>
      </c>
      <c r="F91" s="6">
        <v>30</v>
      </c>
      <c r="G91" s="6">
        <v>900</v>
      </c>
      <c r="H91" s="6">
        <f t="shared" si="1"/>
        <v>8.9999999999999998E-4</v>
      </c>
    </row>
    <row r="92" spans="1:8" x14ac:dyDescent="0.35">
      <c r="A92" s="6">
        <v>91</v>
      </c>
      <c r="B92" s="6">
        <v>0.89552238805970152</v>
      </c>
      <c r="C92" s="6">
        <v>2901106</v>
      </c>
      <c r="E92" s="6">
        <v>2000</v>
      </c>
      <c r="F92" s="6">
        <v>29.850746268656717</v>
      </c>
      <c r="G92" s="6">
        <v>895.52238805970148</v>
      </c>
      <c r="H92" s="6">
        <f t="shared" si="1"/>
        <v>8.955223880597015E-4</v>
      </c>
    </row>
    <row r="93" spans="1:8" x14ac:dyDescent="0.35">
      <c r="A93" s="6">
        <v>92</v>
      </c>
      <c r="B93" s="6">
        <v>0.89361702127659581</v>
      </c>
      <c r="C93" s="6">
        <v>2904047</v>
      </c>
      <c r="E93" s="6">
        <v>2800</v>
      </c>
      <c r="F93" s="6">
        <v>29.787234042553191</v>
      </c>
      <c r="G93" s="6">
        <v>893.61702127659578</v>
      </c>
      <c r="H93" s="6">
        <f t="shared" si="1"/>
        <v>8.9361702127659581E-4</v>
      </c>
    </row>
    <row r="94" spans="1:8" x14ac:dyDescent="0.35">
      <c r="A94" s="6">
        <v>93</v>
      </c>
      <c r="B94" s="6">
        <v>0.89361702127659581</v>
      </c>
      <c r="C94" s="6">
        <v>2901706</v>
      </c>
      <c r="E94" s="6">
        <v>1400</v>
      </c>
      <c r="F94" s="6">
        <v>29.787234042553191</v>
      </c>
      <c r="G94" s="6">
        <v>893.61702127659578</v>
      </c>
      <c r="H94" s="6">
        <f t="shared" si="1"/>
        <v>8.9361702127659581E-4</v>
      </c>
    </row>
    <row r="95" spans="1:8" x14ac:dyDescent="0.35">
      <c r="A95" s="6">
        <v>94</v>
      </c>
      <c r="B95" s="6">
        <v>0.89361702127659581</v>
      </c>
      <c r="C95" s="6">
        <v>2902972</v>
      </c>
      <c r="E95" s="6">
        <v>1400</v>
      </c>
      <c r="F95" s="6">
        <v>29.787234042553191</v>
      </c>
      <c r="G95" s="6">
        <v>893.61702127659578</v>
      </c>
      <c r="H95" s="6">
        <f t="shared" si="1"/>
        <v>8.9361702127659581E-4</v>
      </c>
    </row>
    <row r="96" spans="1:8" x14ac:dyDescent="0.35">
      <c r="A96" s="6">
        <v>95</v>
      </c>
      <c r="B96" s="6">
        <v>0.89361702127659581</v>
      </c>
      <c r="C96" s="6">
        <v>2903587</v>
      </c>
      <c r="E96" s="6">
        <v>2800</v>
      </c>
      <c r="F96" s="6">
        <v>29.787234042553191</v>
      </c>
      <c r="G96" s="6">
        <v>893.61702127659578</v>
      </c>
      <c r="H96" s="6">
        <f t="shared" si="1"/>
        <v>8.9361702127659581E-4</v>
      </c>
    </row>
    <row r="97" spans="1:8" x14ac:dyDescent="0.35">
      <c r="A97" s="6">
        <v>96</v>
      </c>
      <c r="B97" s="6">
        <v>0.88732394366197187</v>
      </c>
      <c r="C97" s="6">
        <v>2902493</v>
      </c>
      <c r="E97" s="6">
        <v>2100</v>
      </c>
      <c r="F97" s="6">
        <v>29.577464788732396</v>
      </c>
      <c r="G97" s="6">
        <v>887.32394366197184</v>
      </c>
      <c r="H97" s="6">
        <f t="shared" si="1"/>
        <v>8.8732394366197189E-4</v>
      </c>
    </row>
    <row r="98" spans="1:8" x14ac:dyDescent="0.35">
      <c r="A98" s="6">
        <v>97</v>
      </c>
      <c r="B98" s="6">
        <v>0.88235294117647045</v>
      </c>
      <c r="C98" s="6">
        <v>2901727</v>
      </c>
      <c r="E98" s="6">
        <v>1000</v>
      </c>
      <c r="F98" s="6">
        <v>29.411764705882351</v>
      </c>
      <c r="G98" s="6">
        <v>882.35294117647049</v>
      </c>
      <c r="H98" s="6">
        <f t="shared" si="1"/>
        <v>8.823529411764704E-4</v>
      </c>
    </row>
    <row r="99" spans="1:8" x14ac:dyDescent="0.35">
      <c r="A99" s="6">
        <v>98</v>
      </c>
      <c r="B99" s="6">
        <v>0.88</v>
      </c>
      <c r="C99" s="6">
        <v>2901914</v>
      </c>
      <c r="E99" s="6">
        <v>880</v>
      </c>
      <c r="F99" s="6">
        <v>29.333333333333332</v>
      </c>
      <c r="G99" s="6">
        <v>880</v>
      </c>
      <c r="H99" s="6">
        <f t="shared" si="1"/>
        <v>8.8000000000000003E-4</v>
      </c>
    </row>
    <row r="100" spans="1:8" x14ac:dyDescent="0.35">
      <c r="A100" s="6">
        <v>99</v>
      </c>
      <c r="B100" s="6">
        <v>0.875</v>
      </c>
      <c r="C100" s="6">
        <v>2901084</v>
      </c>
      <c r="E100" s="6">
        <v>1400</v>
      </c>
      <c r="F100" s="6">
        <v>29.166666666666668</v>
      </c>
      <c r="G100" s="6">
        <v>875</v>
      </c>
      <c r="H100" s="6">
        <f t="shared" si="1"/>
        <v>8.7500000000000002E-4</v>
      </c>
    </row>
    <row r="101" spans="1:8" x14ac:dyDescent="0.35">
      <c r="A101" s="6">
        <v>100</v>
      </c>
      <c r="B101" s="6">
        <v>0.875</v>
      </c>
      <c r="C101" s="6">
        <v>2901265</v>
      </c>
      <c r="E101" s="6">
        <v>1400</v>
      </c>
      <c r="F101" s="6">
        <v>29.166666666666668</v>
      </c>
      <c r="G101" s="6">
        <v>875</v>
      </c>
      <c r="H101" s="6">
        <f t="shared" si="1"/>
        <v>8.7500000000000002E-4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2047-C34E-4698-9F76-30EFB300CA83}">
  <dimension ref="A1:B13"/>
  <sheetViews>
    <sheetView workbookViewId="0">
      <selection activeCell="F20" sqref="F20"/>
    </sheetView>
  </sheetViews>
  <sheetFormatPr defaultRowHeight="14.5" x14ac:dyDescent="0.35"/>
  <cols>
    <col min="1" max="1" width="14" bestFit="1" customWidth="1"/>
  </cols>
  <sheetData>
    <row r="1" spans="1:2" x14ac:dyDescent="0.35">
      <c r="A1" t="s">
        <v>83</v>
      </c>
    </row>
    <row r="3" spans="1:2" x14ac:dyDescent="0.35">
      <c r="A3" t="s">
        <v>66</v>
      </c>
      <c r="B3" t="s">
        <v>65</v>
      </c>
    </row>
    <row r="4" spans="1:2" x14ac:dyDescent="0.35">
      <c r="A4" s="10">
        <v>44743</v>
      </c>
      <c r="B4">
        <v>65</v>
      </c>
    </row>
    <row r="5" spans="1:2" x14ac:dyDescent="0.35">
      <c r="A5" s="10">
        <v>44774</v>
      </c>
      <c r="B5">
        <v>136</v>
      </c>
    </row>
    <row r="6" spans="1:2" x14ac:dyDescent="0.35">
      <c r="A6" s="10">
        <v>44805</v>
      </c>
      <c r="B6">
        <v>145</v>
      </c>
    </row>
    <row r="7" spans="1:2" x14ac:dyDescent="0.35">
      <c r="A7" s="10">
        <v>44835</v>
      </c>
      <c r="B7">
        <v>154</v>
      </c>
    </row>
    <row r="8" spans="1:2" x14ac:dyDescent="0.35">
      <c r="A8" s="10">
        <v>44866</v>
      </c>
      <c r="B8">
        <v>168</v>
      </c>
    </row>
    <row r="9" spans="1:2" x14ac:dyDescent="0.35">
      <c r="A9" s="10">
        <v>44896</v>
      </c>
      <c r="B9">
        <v>144</v>
      </c>
    </row>
    <row r="10" spans="1:2" x14ac:dyDescent="0.35">
      <c r="A10" s="10">
        <v>44927</v>
      </c>
      <c r="B10">
        <v>222</v>
      </c>
    </row>
    <row r="11" spans="1:2" x14ac:dyDescent="0.35">
      <c r="A11" s="10">
        <v>44958</v>
      </c>
      <c r="B11">
        <v>270</v>
      </c>
    </row>
    <row r="12" spans="1:2" x14ac:dyDescent="0.35">
      <c r="A12" s="10">
        <v>44986</v>
      </c>
      <c r="B12">
        <v>585</v>
      </c>
    </row>
    <row r="13" spans="1:2" x14ac:dyDescent="0.35">
      <c r="A13" s="10">
        <v>45017</v>
      </c>
      <c r="B13">
        <v>381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0075-2C7F-43CA-BA67-B399E2B2B71D}">
  <dimension ref="A1:F13"/>
  <sheetViews>
    <sheetView workbookViewId="0">
      <selection activeCell="A24" sqref="A24"/>
    </sheetView>
  </sheetViews>
  <sheetFormatPr defaultRowHeight="14.5" x14ac:dyDescent="0.35"/>
  <cols>
    <col min="1" max="1" width="14" style="6" bestFit="1" customWidth="1"/>
    <col min="2" max="2" width="17.90625" customWidth="1"/>
    <col min="3" max="3" width="13.90625" style="6" customWidth="1"/>
    <col min="4" max="4" width="13" customWidth="1"/>
    <col min="5" max="5" width="13.54296875" customWidth="1"/>
    <col min="6" max="6" width="16.453125" customWidth="1"/>
  </cols>
  <sheetData>
    <row r="1" spans="1:6" ht="18.5" x14ac:dyDescent="0.35">
      <c r="A1" s="9" t="s">
        <v>80</v>
      </c>
    </row>
    <row r="3" spans="1:6" ht="58" x14ac:dyDescent="0.35">
      <c r="A3" s="6" t="s">
        <v>66</v>
      </c>
      <c r="B3" s="8" t="s">
        <v>79</v>
      </c>
      <c r="C3" s="8" t="s">
        <v>84</v>
      </c>
      <c r="D3" s="8" t="s">
        <v>76</v>
      </c>
      <c r="E3" s="8" t="s">
        <v>77</v>
      </c>
      <c r="F3" s="8" t="s">
        <v>78</v>
      </c>
    </row>
    <row r="4" spans="1:6" x14ac:dyDescent="0.35">
      <c r="A4" s="7">
        <v>44743</v>
      </c>
      <c r="B4" s="6">
        <v>96</v>
      </c>
      <c r="C4">
        <v>65</v>
      </c>
      <c r="D4" s="6">
        <v>77</v>
      </c>
      <c r="E4" s="6">
        <v>30</v>
      </c>
      <c r="F4" s="6">
        <v>11</v>
      </c>
    </row>
    <row r="5" spans="1:6" x14ac:dyDescent="0.35">
      <c r="A5" s="7">
        <v>44774</v>
      </c>
      <c r="B5" s="6">
        <v>182</v>
      </c>
      <c r="C5">
        <v>136</v>
      </c>
      <c r="D5" s="6">
        <v>148</v>
      </c>
      <c r="E5" s="6">
        <v>52</v>
      </c>
      <c r="F5" s="6">
        <v>18</v>
      </c>
    </row>
    <row r="6" spans="1:6" x14ac:dyDescent="0.35">
      <c r="A6" s="7">
        <v>44805</v>
      </c>
      <c r="B6" s="6">
        <v>174</v>
      </c>
      <c r="C6">
        <v>145</v>
      </c>
      <c r="D6" s="6">
        <v>142</v>
      </c>
      <c r="E6" s="6">
        <v>49</v>
      </c>
      <c r="F6" s="6">
        <v>17</v>
      </c>
    </row>
    <row r="7" spans="1:6" x14ac:dyDescent="0.35">
      <c r="A7" s="7">
        <v>44835</v>
      </c>
      <c r="B7" s="6">
        <v>176</v>
      </c>
      <c r="C7">
        <v>154</v>
      </c>
      <c r="D7" s="6">
        <v>133</v>
      </c>
      <c r="E7" s="6">
        <v>61</v>
      </c>
      <c r="F7" s="6">
        <v>18</v>
      </c>
    </row>
    <row r="8" spans="1:6" x14ac:dyDescent="0.35">
      <c r="A8" s="7">
        <v>44866</v>
      </c>
      <c r="B8" s="6">
        <v>200</v>
      </c>
      <c r="C8">
        <v>168</v>
      </c>
      <c r="D8" s="6">
        <v>158</v>
      </c>
      <c r="E8" s="6">
        <v>67</v>
      </c>
      <c r="F8" s="6">
        <v>25</v>
      </c>
    </row>
    <row r="9" spans="1:6" x14ac:dyDescent="0.35">
      <c r="A9" s="7">
        <v>44896</v>
      </c>
      <c r="B9" s="6">
        <v>185</v>
      </c>
      <c r="C9">
        <v>144</v>
      </c>
      <c r="D9" s="6">
        <v>154</v>
      </c>
      <c r="E9" s="6">
        <v>57</v>
      </c>
      <c r="F9" s="6">
        <v>26</v>
      </c>
    </row>
    <row r="10" spans="1:6" x14ac:dyDescent="0.35">
      <c r="A10" s="7">
        <v>44927</v>
      </c>
      <c r="B10" s="6">
        <v>264</v>
      </c>
      <c r="C10">
        <v>222</v>
      </c>
      <c r="D10" s="6">
        <v>213</v>
      </c>
      <c r="E10" s="6">
        <v>78</v>
      </c>
      <c r="F10" s="6">
        <v>27</v>
      </c>
    </row>
    <row r="11" spans="1:6" x14ac:dyDescent="0.35">
      <c r="A11" s="7">
        <v>44958</v>
      </c>
      <c r="B11" s="6">
        <v>326</v>
      </c>
      <c r="C11">
        <v>270</v>
      </c>
      <c r="D11" s="6">
        <v>250</v>
      </c>
      <c r="E11" s="6">
        <v>111</v>
      </c>
      <c r="F11" s="6">
        <v>35</v>
      </c>
    </row>
    <row r="12" spans="1:6" x14ac:dyDescent="0.35">
      <c r="A12" s="7">
        <v>44986</v>
      </c>
      <c r="B12" s="6">
        <v>686</v>
      </c>
      <c r="C12">
        <v>585</v>
      </c>
      <c r="D12" s="6">
        <v>532</v>
      </c>
      <c r="E12" s="6">
        <v>230</v>
      </c>
      <c r="F12" s="6">
        <v>76</v>
      </c>
    </row>
    <row r="13" spans="1:6" x14ac:dyDescent="0.35">
      <c r="A13" s="7">
        <v>45017</v>
      </c>
      <c r="B13" s="6">
        <v>448</v>
      </c>
      <c r="C13">
        <v>381</v>
      </c>
      <c r="D13" s="6">
        <v>341</v>
      </c>
      <c r="E13" s="6">
        <v>159</v>
      </c>
      <c r="F13" s="6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задание_6</vt:lpstr>
      <vt:lpstr>SQL запросы</vt:lpstr>
      <vt:lpstr>рез запросов 1-4</vt:lpstr>
      <vt:lpstr>Рез зап5</vt:lpstr>
      <vt:lpstr>Рез зап5 вычислен LMAU</vt:lpstr>
      <vt:lpstr>рез запросов 1-5 вместе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2024-11-05T04:05:59Z</dcterms:created>
  <dcterms:modified xsi:type="dcterms:W3CDTF">2025-07-21T06:36:36Z</dcterms:modified>
</cp:coreProperties>
</file>